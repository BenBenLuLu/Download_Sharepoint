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lgroup-my.sharepoint.com/personal/ben_lu_shl-group_com/Documents/Documents/Privacy/python2/Ben/SHL/Tool Assessment/MoM extraction/Download_Sharepoint/"/>
    </mc:Choice>
  </mc:AlternateContent>
  <xr:revisionPtr revIDLastSave="1" documentId="8_{A325A7A9-CD2B-40E5-93E7-A52548084924}" xr6:coauthVersionLast="47" xr6:coauthVersionMax="47" xr10:uidLastSave="{F7820F2F-9749-426A-8085-100FFD147698}"/>
  <bookViews>
    <workbookView xWindow="19090" yWindow="-3280" windowWidth="34620" windowHeight="13900" xr2:uid="{7FC3AAFD-2724-4017-B05A-357312399D53}"/>
  </bookViews>
  <sheets>
    <sheet name="MoM" sheetId="1" r:id="rId1"/>
  </sheets>
  <definedNames>
    <definedName name="ExternalData_1" localSheetId="0" hidden="1">MoM!$B$2:$N$49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9" i="1" l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B1" i="1" a="1"/>
  <c r="B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32B7C7-1692-438C-BB79-EA7AE4423072}" keepAlive="1" name="Query - SumMoM" description="Connection to the 'SumMoM' query in the workbook." type="5" refreshedVersion="8" background="1" saveData="1">
    <dbPr connection="Provider=Microsoft.Mashup.OleDb.1;Data Source=$Workbook$;Location=SumMoM;Extended Properties=&quot;&quot;" command="SELECT * FROM [SumMoM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<sst xmlns="http://schemas.openxmlformats.org/spreadsheetml/2006/main" count="617" uniqueCount="176">
  <si>
    <t xml:space="preserve">Here is </t>
  </si>
  <si>
    <t>DAI Actuator</t>
  </si>
  <si>
    <t>Meeting Minutes</t>
  </si>
  <si>
    <t>Name</t>
  </si>
  <si>
    <t>URL</t>
  </si>
  <si>
    <t>Date</t>
  </si>
  <si>
    <t>Refer to</t>
  </si>
  <si>
    <t>TOP 15 Projects</t>
  </si>
  <si>
    <t>SAP project Code / Project Code / Project Name</t>
  </si>
  <si>
    <t>Tool Maker</t>
  </si>
  <si>
    <t>Tooling# / Name / Tool#</t>
  </si>
  <si>
    <t>CAV.</t>
  </si>
  <si>
    <t>Shots amount</t>
  </si>
  <si>
    <t>Description</t>
  </si>
  <si>
    <t>Created</t>
  </si>
  <si>
    <t>Created By</t>
  </si>
  <si>
    <t>Tool_code</t>
  </si>
  <si>
    <t>https://shlgroup.sharepoint.com/sites/DPT_Taiwan_OTO%20-%20Project%20Management/Meeting%20Minutes/MM%20A11397016%20TM2B%20Pen%20II%20Vial%20Retainer%20(2%20Cav.).docx</t>
  </si>
  <si>
    <t>Meeting Minutes A11397016 TM2B Pen II Vial Retainer (2 Cav.).docx</t>
  </si>
  <si>
    <t>Production Issue</t>
  </si>
  <si>
    <t>N/A</t>
  </si>
  <si>
    <t>A-000004 / Pen II Series</t>
  </si>
  <si>
    <t>TLII</t>
  </si>
  <si>
    <t>11397 / Vial Retainer / TM2B-A-000004-013375</t>
  </si>
  <si>
    <t>2cav.</t>
  </si>
  <si>
    <t>213,180</t>
  </si>
  <si>
    <t>#5.Parts damaged (模具零件受損);#8.Plastic parts flash (成品毛邊)</t>
  </si>
  <si>
    <t>Scott Liao</t>
  </si>
  <si>
    <t>11397</t>
  </si>
  <si>
    <t>https://shlgroup.sharepoint.com/sites/DPT_Taiwan_OTO%20-%20Project%20Management/Meeting%20Minutes/MM%20A11369020%20TM2A%20Pen%20II%20Vial%20Retainer%20(2%20Cav.).docx</t>
  </si>
  <si>
    <t>Meeting Minutes A11369020 TM2A Pen II Vial Retainer (2 Cav.).docx</t>
  </si>
  <si>
    <t>11369 / Vial Retainer / TM2A-A-000004-013375</t>
  </si>
  <si>
    <t>236,468</t>
  </si>
  <si>
    <t>#15. Make/Purchase Spare Parts (製做/採購備品);#26.3. Drawing update (圖面更新)</t>
  </si>
  <si>
    <t>Vic Chuang</t>
  </si>
  <si>
    <t>11369</t>
  </si>
  <si>
    <t>https://shlgroup.sharepoint.com/sites/DPT_Taiwan_OTO%20-%20Project%20Management/Meeting%20Minutes/MM%20A11397017%20TM2B%20Pen%20II%20Vial%20Retainer%20(2%20Cav.).docx</t>
  </si>
  <si>
    <t>Meeting Minutes A11397017 TM2B Pen II Vial Retainer (2 Cav.).docx</t>
  </si>
  <si>
    <t>https://shlgroup.sharepoint.com/sites/DPT_Taiwan_OTO%20-%20Project%20Management/Meeting%20Minutes/MM%20A11369019A%20TM2A%20Pen%20II%20Vial%20Retainer%20(2%20Cav.).docx</t>
  </si>
  <si>
    <t>Meeting Minutes A11369019A TM2A Pen II Vial Retainer (2 Cav.).docx</t>
  </si>
  <si>
    <t>#2.Abnormal moving (模具作動異常);#5.Parts damaged (模具零件受損)</t>
  </si>
  <si>
    <t>https://shlgroup.sharepoint.com/sites/DPT_Taiwan_OTO%20-%20Project%20Management/Meeting%20Minutes/MM%20A11397015%20TM2B%20Pen%20II%20Vial%20Retainer%20(2%20Cav.).docx</t>
  </si>
  <si>
    <t>Meeting Minutes A11397015 TM2B Pen II Vial Retainer (2 Cav.).docx</t>
  </si>
  <si>
    <t>195,668</t>
  </si>
  <si>
    <t>#8.Plastic parts flash (成品毛邊)</t>
  </si>
  <si>
    <t>https://shlgroup.sharepoint.com/sites/DPT_Taiwan_OTO%20-%20Project%20Management/Meeting%20Minutes/MM%20A11369019%20TM2A%20Pen%20II%20Vial%20Retainer%20(2%20Cav.).docx</t>
  </si>
  <si>
    <t>Meeting Minutes A11369019 TM2A Pen II Vial Retainer (2 Cav.).docx</t>
  </si>
  <si>
    <t>#2.Abnormal moving (模具作動異常)</t>
  </si>
  <si>
    <t>https://shlgroup.sharepoint.com/sites/DPT_Taiwan_OTO%20-%20Project%20Management/Meeting%20Minutes/MM%20A11397014%20TM2B%20Pen%20II%20Vial%20Retainer%20(2%20Cav.).docx</t>
  </si>
  <si>
    <t>Meeting Minutes A11397014 TM2B Pen II Vial Retainer (2 Cav.).docx</t>
  </si>
  <si>
    <t>151,359</t>
  </si>
  <si>
    <t>https://shlgroup.sharepoint.com/sites/DPT_Taiwan_OTO%20-%20Project%20Management/Meeting%20Minutes/MM%20A11369018%20TM2A%20Pen%20II%20Vial%20Retainer%20(2%20Cav.).docx</t>
  </si>
  <si>
    <t>Meeting Minutes A11369018 TM2A Pen II Vial Retainer (2 Cav.).docx</t>
  </si>
  <si>
    <t>204,546</t>
  </si>
  <si>
    <t>https://shlgroup.sharepoint.com/sites/DPT_Taiwan_OTO%20-%20Project%20Management/Meeting%20Minutes/MM%20A11397013%20TM2B%20Pen%20II%20Vial%20Retainer%20(2%20Cav.).docx</t>
  </si>
  <si>
    <t>Meeting Minutes A11397013 TM2B Pen II Vial Retainer (2 Cav.).docx</t>
  </si>
  <si>
    <t>138,136</t>
  </si>
  <si>
    <t>#15. Make/Purchase Spare Parts (製做/採購備品)</t>
  </si>
  <si>
    <t>https://shlgroup.sharepoint.com/sites/DPT_Taiwan_OTO%20-%20Project%20Management/Meeting%20Minutes/MM%20A11369017%20TM2%20Pen%20II%20Vial%20Retainer%20(2%20Cav.).docx</t>
  </si>
  <si>
    <t>Meeting Minutes A11369017 TM2 Pen II Vial Retainer (2 Cav.).docx</t>
  </si>
  <si>
    <t>195,660</t>
  </si>
  <si>
    <t>https://shlgroup.sharepoint.com/sites/DPT_Taiwan_OTO%20-%20Project%20Management/Meeting%20Minutes/MM%20A11397012%20TM2B%20Pen%20II%20Vial%20Retainer%20(2%20Cav.).docx</t>
  </si>
  <si>
    <t>Meeting Minutes A11397012 TM2B Pen II Vial Retainer (2 Cav.).docx</t>
  </si>
  <si>
    <t>#5.Parts damaged (模具零件受損)</t>
  </si>
  <si>
    <t>https://shlgroup.sharepoint.com/sites/DPT_Taiwan_OTO%20-%20Project%20Management/Meeting%20Minutes/MM%20A11397011%20TM2B%20Pen%20II%20Vial%20Retainer%20(2%20Cav.).docx</t>
  </si>
  <si>
    <t>Meeting Minutes A11397011 TM2B Pen II Vial Retainer (2 Cav.).docx</t>
  </si>
  <si>
    <t>113,198</t>
  </si>
  <si>
    <t>https://shlgroup.sharepoint.com/sites/DPT_Taiwan_OTO%20-%20Project%20Management/Meeting%20Minutes/MM%20A11397010%20TM2B%20Pen%20II%20Vial%20Retainer%20(2%20Cav.).docx</t>
  </si>
  <si>
    <t>Meeting Minutes A11397010 TM2B Pen II Vial Retainer (2 Cav.).docx</t>
  </si>
  <si>
    <t>101,062</t>
  </si>
  <si>
    <t>https://shlgroup.sharepoint.com/sites/DPT_Taiwan_OTO%20-%20Project%20Management/Meeting%20Minutes/MM%20A11369016A%20TM2%20Pen%20II%20Vial%20Retainer%20(2%20Cav.).docx</t>
  </si>
  <si>
    <t>Meeting Minutes A11369016A TM2 Pen II Vial Retainer (2 Cav.).docx</t>
  </si>
  <si>
    <t>Trial Shot Issue</t>
  </si>
  <si>
    <t>55,704</t>
  </si>
  <si>
    <t>#14.Plastic parts dim. NG (成品尺寸NG)</t>
  </si>
  <si>
    <t>Luca Yang</t>
  </si>
  <si>
    <t>https://shlgroup.sharepoint.com/sites/DPT_Taiwan_OTO%20-%20Project%20Management/Meeting%20Minutes/MM%20A11369016%20TM2%20Pen%20II%20Vial%20Retainer%20(2%20Cav.).docx</t>
  </si>
  <si>
    <t>Meeting Minutes A11369016 TM2 Pen II Vial Retainer (2 Cav.).docx</t>
  </si>
  <si>
    <t>https://shlgroup.sharepoint.com/sites/DPT_Taiwan_OTO%20-%20Project%20Management/Meeting%20Minutes/MM%20A11397009-U%20TM2%20Pen%20II%20Vial%20Retainer%20(2%20Cav.).docx</t>
  </si>
  <si>
    <t>Meeting Minutes A11397009-U TM2 Pen II Vial Retainer (2 Cav.).docx</t>
  </si>
  <si>
    <t>17,585</t>
  </si>
  <si>
    <t>#12.Plastic parts got scratches (成品刮傷)</t>
  </si>
  <si>
    <t>https://shlgroup.sharepoint.com/sites/DPT_Taiwan_OTO%20-%20Project%20Management/Meeting%20Minutes/MM%20A11369015A%20TM2%20Pen%20II%20Vial%20Retainer%20(2%20Cav.).docx</t>
  </si>
  <si>
    <t>Meeting Minutes A11369015A TM2 Pen II Vial Retainer (2 Cav.).docx</t>
  </si>
  <si>
    <t>53,628</t>
  </si>
  <si>
    <t>https://shlgroup.sharepoint.com/sites/DPT_Taiwan_OTO%20-%20Project%20Management/Meeting%20Minutes/MM%20A11369015%20TM2%20Pen%20II%20Vial%20Retainer%20(2%20Cav.).docx</t>
  </si>
  <si>
    <t>Meeting Minutes A11369015 TM2 Pen II Vial Retainer (2 Cav.).docx</t>
  </si>
  <si>
    <t>https://shlgroup.sharepoint.com/sites/DPT_Taiwan_OTO%20-%20Project%20Management/Meeting%20Minutes/MM%20A11369014A%20TM2%20Pen%20II%20Vial%20Retainer%20(2%20Cav.).docx</t>
  </si>
  <si>
    <t>Meeting Minutes A11369014A TM2 Pen II Vial Retainer (2 Cav.).docx</t>
  </si>
  <si>
    <t>53,617</t>
  </si>
  <si>
    <t>#26.2.5 Replace mold part for engineering test process (更換零件進行工程測試);#27. Parts Function Issue (成品功能問題)</t>
  </si>
  <si>
    <t>https://shlgroup.sharepoint.com/sites/DPT_Taiwan_OTO%20-%20Project%20Management/Meeting%20Minutes/MM%20A11369014%20TM2%20Pen%20II%20Vial%20Retainer%20(2%20Cav.).docx</t>
  </si>
  <si>
    <t>Meeting Minutes A11369014 TM2 Pen II Vial Retainer (2 Cav.).docx</t>
  </si>
  <si>
    <t>#27. Parts Function Issue (成品功能問題)</t>
  </si>
  <si>
    <t>https://shlgroup.sharepoint.com/sites/DPT_Taiwan_OTO%20-%20Project%20Management/Meeting%20Minutes/MM%20A11397008%20TM2%20Pen%20II%20Vial%20Retainer%20(2%20Cav.).docx</t>
  </si>
  <si>
    <t>Meeting Minutes A11397008 TM2 Pen II Vial Retainer (2 Cav.).docx</t>
  </si>
  <si>
    <t>15,686</t>
  </si>
  <si>
    <t>https://shlgroup.sharepoint.com/sites/DPT_Taiwan_OTO%20-%20Project%20Management/Meeting%20Minutes/MM%20A11397008A%20TM2%20Pen%20II%20Vial%20Retainer%20(2%20Cav.).docx</t>
  </si>
  <si>
    <t>Meeting Minutes A11397008A TM2 Pen II Vial Retainer (2 Cav.).docx</t>
  </si>
  <si>
    <t>https://shlgroup.sharepoint.com/sites/DPT_Taiwan_OTO%20-%20Project%20Management/Meeting%20Minutes/MM%20A11369013%20TM2A%20Pen%20II%20Vial%20Retainer%20(2%20Cav.).docx</t>
  </si>
  <si>
    <t>Meeting Minutes A11369013 TM2A Pen II Vial Retainer (2 Cav.).docx</t>
  </si>
  <si>
    <t>52,572</t>
  </si>
  <si>
    <t>https://shlgroup.sharepoint.com/sites/DPT_Taiwan_OTO%20-%20Project%20Management/Meeting%20Minutes/MM%20A11369012%20TM2A%20Pen%20II%20Vial%20Retainer%20(2%20Cav.).docx</t>
  </si>
  <si>
    <t>Meeting Minutes A11369012 TM2A Pen II Vial Retainer (2 Cav.).docx</t>
  </si>
  <si>
    <t>51,295</t>
  </si>
  <si>
    <t>#26. Others (其他)</t>
  </si>
  <si>
    <t>https://shlgroup.sharepoint.com/sites/DPT_Taiwan_OTO%20-%20Project%20Management/Meeting%20Minutes/MM%20A11397007%20TM2B%20PENII-Vial%20Retainer%20(2%20cav.).docx</t>
  </si>
  <si>
    <t>Meeting Minutes A11397007 TM2B PENII-Vial Retainer (2 cav.).docx</t>
  </si>
  <si>
    <t>15,685</t>
  </si>
  <si>
    <t>https://shlgroup.sharepoint.com/sites/DPT_Taiwan_OTO%20-%20Project%20Management/Meeting%20Minutes/MM%20A11397006%20TM2B%20PENII-Vial%20Retainer%20(2%20cav.).docx</t>
  </si>
  <si>
    <t>Meeting Minutes A11397006 TM2B PENII-Vial Retainer (2 cav.).docx</t>
  </si>
  <si>
    <t>11,070</t>
  </si>
  <si>
    <t>https://shlgroup.sharepoint.com/sites/DPT_Taiwan_OTO%20-%20Project%20Management/Meeting%20Minutes/MM%20A11369011%20TM2A%20PenII%20Vial%20Retainer%20(2%20Cav.).docx</t>
  </si>
  <si>
    <t>Meeting Minutes A11369011 TM2A PenII Vial Retainer (2 Cav.).docx</t>
  </si>
  <si>
    <t>41,673</t>
  </si>
  <si>
    <t>#16. Prevention-Coating to avoid damage (預防措施-表面電鍍)</t>
  </si>
  <si>
    <t>https://shlgroup.sharepoint.com/sites/DPT_Taiwan_OTO%20-%20Project%20Management/Meeting%20Minutes/Meeting%20Minutes%20A1139705%20TM2B%20PENII-Vial%20Retainer%20(2%20cav.).docx</t>
  </si>
  <si>
    <t>Meeting Minutes A1139705 TM2B PENII-Vial Retainer (2 cav.).docx</t>
  </si>
  <si>
    <t>4,597</t>
  </si>
  <si>
    <t>https://shlgroup.sharepoint.com/sites/DPT_Taiwan_OTO%20-%20Project%20Management/Meeting%20Minutes/Meeting%20Minutes%20A1136910A%20TM2A%20PenII%20Vial%20Retainer%20(2%20Cav.).docx</t>
  </si>
  <si>
    <t>Meeting Minutes A1136910A TM2A PenII Vial Retainer (2 Cav.).docx</t>
  </si>
  <si>
    <t>34,168</t>
  </si>
  <si>
    <t>#17. Improve the tool structure (改善模具結構)</t>
  </si>
  <si>
    <t>https://shlgroup.sharepoint.com/sites/DPT_Taiwan_OTO%20-%20Project%20Management/Meeting%20Minutes/Meeting%20Minutes%20A1139704%20TM2B%20PENII-Vial%20Retainer%20(2%20cav).docx</t>
  </si>
  <si>
    <t>Meeting Minutes A1139704 TM2B PENII-Vial Retainer (2 cav).docx</t>
  </si>
  <si>
    <t>#17. Improve the tool structure (改善模具結構);#14.Plastic parts dim. NG (成品尺寸NG)</t>
  </si>
  <si>
    <t>https://shlgroup.sharepoint.com/sites/DPT_Taiwan_OTO%20-%20Project%20Management/Meeting%20Minutes/Meeting%20Minutes%20A1136910%20TM2A%20PenII%20Vial%20Retainer%20(2%20Cav.).docx</t>
  </si>
  <si>
    <t>Meeting Minutes A1136910 TM2A PenII Vial Retainer (2 Cav.).docx</t>
  </si>
  <si>
    <t>https://shlgroup.sharepoint.com/sites/DPT_Taiwan_OTO%20-%20Project%20Management/Meeting%20Minutes/Meeting%20Minutes%20A1139703%20TM2B%20PENII-Vial%20Retainer%20(2%20cav).docx</t>
  </si>
  <si>
    <t>Meeting Minutes A1139703 TM2B PENII-Vial Retainer (2 cav).docx</t>
  </si>
  <si>
    <t>3,177</t>
  </si>
  <si>
    <t>https://shlgroup.sharepoint.com/sites/DPT_Taiwan_OTO%20-%20Project%20Management/Meeting%20Minutes/Meeting%20Minutes%20A1136909%20TM2A%20PenII%20Vial%20Retainer%20(2%20Cav.).docx</t>
  </si>
  <si>
    <t>Meeting Minutes A1136909 TM2A PenII Vial Retainer (2 Cav.).docx</t>
  </si>
  <si>
    <t>https://shlgroup.sharepoint.com/sites/DPT_Taiwan_OTO%20-%20Project%20Management/Meeting%20Minutes/Meeting%20Minutes%20A1136908%20TM2A%20PenII%20Vial%20Retainer%20(2-Cav.).docx</t>
  </si>
  <si>
    <t>Meeting Minutes A1136908 TM2A PenII Vial Retainer (2-Cav.).docx</t>
  </si>
  <si>
    <t>29,711</t>
  </si>
  <si>
    <t>#4.2.6 Ewikon Hot Tip crack 19079-W4 (Ewikon熱流嘴斷裂19079-W4)</t>
  </si>
  <si>
    <t>Alan Hsu</t>
  </si>
  <si>
    <t>https://shlgroup.sharepoint.com/sites/DPT_Taiwan_OTO%20-%20Project%20Management/Meeting%20Minutes/Meeting%20Minutes%20A1136907A%20TM2A%20PenII%20Vial%20Retainer%20(2-Cav.).docx</t>
  </si>
  <si>
    <t>Meeting Minutes A1136907A TM2A PenII Vial Retainer (2-Cav.).docx</t>
  </si>
  <si>
    <t>22,775</t>
  </si>
  <si>
    <t>https://shlgroup.sharepoint.com/sites/DPT_Taiwan_OTO%20-%20Project%20Management/Meeting%20Minutes/Meeting%20Minutes%20A1136907%20TM2A%20PenII%20Vial%20Retainer%20(2-Cav.).docx</t>
  </si>
  <si>
    <t>Meeting Minutes A1136907 TM2A PenII Vial Retainer (2-Cav.).docx</t>
  </si>
  <si>
    <t>https://shlgroup.sharepoint.com/sites/DPT_Taiwan_OTO%20-%20Project%20Management/Meeting%20Minutes/Meeting%20Minutes%20A1136906%20TM2A%20PenII%20Vial%20Retainer%20(2-Cav.).docx</t>
  </si>
  <si>
    <t>Meeting Minutes A1136906 TM2A PenII Vial Retainer (2-Cav.).docx</t>
  </si>
  <si>
    <t>19,520</t>
  </si>
  <si>
    <t>Karen Wang</t>
  </si>
  <si>
    <t>https://shlgroup.sharepoint.com/sites/DPT_Taiwan_OTO%20-%20Project%20Management/Meeting%20Minutes/Meeting%20Minutes%20A1136905%20TM2A%20PenII%20Vial%20Retainer%20(2-Cav.).docx</t>
  </si>
  <si>
    <t>Meeting Minutes A1136905 TM2A PenII Vial Retainer (2-Cav.).docx</t>
  </si>
  <si>
    <t>13,150</t>
  </si>
  <si>
    <t>https://shlgroup.sharepoint.com/sites/DPT_Taiwan_OTO%20-%20Project%20Management/Meeting%20Minutes/Meeting%20Minutes%20A1136904%20TM2A%20PenII%20Vial%20Retainer%20(2-Cav).docx</t>
  </si>
  <si>
    <t>Meeting Minutes A1136904 TM2A PenII Vial Retainer (2-Cav).docx</t>
  </si>
  <si>
    <t>10,128</t>
  </si>
  <si>
    <t>https://shlgroup.sharepoint.com/sites/DPT_Taiwan_OTO%20-%20Project%20Management/Meeting%20Minutes/Meeting%20Minutes%20A1139702%20PENII-Vial%20Retainer%202%20cav.docx</t>
  </si>
  <si>
    <t>Meeting Minutes A1139702 PENII-Vial Retainer 2 cav.docx</t>
  </si>
  <si>
    <t>1463</t>
  </si>
  <si>
    <t>#14.Plastic parts dim. NG (成品尺寸NG);#17. Improve the tool structure (改善模具結構)</t>
  </si>
  <si>
    <t>https://shlgroup.sharepoint.com/sites/DPT_Taiwan_OTO%20-%20Project%20Management/Meeting%20Minutes/Meeting%20Minutes%20A1136903%20PENII-Vial%20Retainer%202%20cav.docx</t>
  </si>
  <si>
    <t>Meeting Minutes A1136903 PENII-Vial Retainer 2 cav.docx</t>
  </si>
  <si>
    <t>7484</t>
  </si>
  <si>
    <t>https://shlgroup.sharepoint.com/sites/DPT_Taiwan_OTO%20-%20Project%20Management/Meeting%20Minutes/Meeting%20Minutes%20A1136903A%20PENII-Vial%20Retainer%202%20cav.docx</t>
  </si>
  <si>
    <t>Meeting Minutes A1136903A PENII-Vial Retainer 2 cav.docx</t>
  </si>
  <si>
    <t>https://shlgroup.sharepoint.com/sites/DPT_Taiwan_OTO%20-%20Project%20Management/Meeting%20Minutes/Meeting%20Minutes%20A1139701%20PENII-Vial%20Retainer%202%20cav.docx</t>
  </si>
  <si>
    <t>Meeting Minutes A1139701 PENII-Vial Retainer 2 cav.docx</t>
  </si>
  <si>
    <t>FOT Issue</t>
  </si>
  <si>
    <t>1,312</t>
  </si>
  <si>
    <t>#8.Plastic parts flash (成品毛邊);#9. Plastic parts have stains (成品油汙/髒汙);#12.Plastic parts got scratches (成品刮傷);#11.Plastic parts have air trap (成品包風)</t>
  </si>
  <si>
    <t>https://shlgroup.sharepoint.com/sites/DPT_Taiwan_OTO%20-%20Project%20Management/Meeting%20Minutes/Meeting%20Minutes%20A1136902%20PENII-Vial%20Retainer%202%20cav.docx</t>
  </si>
  <si>
    <t>Meeting Minutes A1136902 PENII-Vial Retainer 2 cav.docx</t>
  </si>
  <si>
    <t>3667</t>
  </si>
  <si>
    <t>https://shlgroup.sharepoint.com/sites/DPT_Taiwan_OTO%20-%20Project%20Management/Meeting%20Minutes/Meeting%20Minutes%20A1136901A%20PENII-Vial%20Retainer%202%20cav.docx</t>
  </si>
  <si>
    <t>Meeting Minutes A1136901A PENII-Vial Retainer 2 cav.docx</t>
  </si>
  <si>
    <t>#25. Runner unstable ex:Stuck or drop (料頭不穩定,卡住或掉落);#17. Improve the tool structure (改善模具結構);#24. Molding Issue ex: High injection pressure issue…etc (成型問題,如:高射壓..etc.)</t>
  </si>
  <si>
    <t>https://shlgroup.sharepoint.com/sites/DPT_Taiwan_OTO%20-%20Project%20Management/Meeting%20Minutes/Meeting%20Minutes%20A1136901%20PENII-Vial%20Retainer%202%20cav.docx</t>
  </si>
  <si>
    <t>Meeting Minutes A1136901 PENII-Vial Retainer 2 cav.docx</t>
  </si>
  <si>
    <t>#24. Molding Issue ex: High injection pressure issue…etc (成型問題,如:高射壓..etc.);#25. Runner unstable ex:Stuck or drop (料頭不穩定,卡住或掉落)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</si>
</sst>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0"/>
      <color theme="5"/>
      <name val="Aptos Narrow"/>
      <family val="2"/>
      <scheme val="minor"/>
    </font>
    <font>
      <sz val="20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" fillId="0" borderId="0" xfId="1"/>
    <xf numFmtId="0" fontId="2" fillId="3" borderId="1" xfId="1" applyFont="1" applyFill="1" applyBorder="1"/>
    <xf numFmtId="0" fontId="8" fillId="0" borderId="0" xfId="2" applyFont="1"/>
    <xf numFmtId="0" fontId="7" fillId="0" borderId="0" xfId="2"/>
    <xf numFmtId="14" fontId="0" fillId="0" borderId="0" xfId="0" applyNumberFormat="1"/>
    <xf numFmtId="0" fontId="9" fillId="0" borderId="0" xfId="3"/>
    <xf numFmtId="14" fontId="1" fillId="0" borderId="0" xfId="1" applyNumberFormat="1"/>
    <xf numFmtId="0" fontId="10" fillId="0" borderId="0" xfId="1" applyFont="1"/>
  </cellXfs>
  <cellStyles count="4">
    <cellStyle name="Hyperlink" xfId="3" builtinId="8"/>
    <cellStyle name="Hyperlink 2" xfId="2" xr:uid="{AD77BC89-AB58-46E3-B433-D449BAACE4DD}"/>
    <cellStyle name="Normal" xfId="0" builtinId="0"/>
    <cellStyle name="Normal 4" xfId="1" xr:uid="{591F94D1-92C8-4902-B1A0-0A7F032B5E74}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2AC29E-F2A2-4F9D-9782-01A2DF1184C2}" autoFormatId="16" applyNumberFormats="0" applyBorderFormats="0" applyFontFormats="0" applyPatternFormats="0" applyAlignmentFormats="0" applyWidthHeightFormats="0">
  <queryTableRefresh nextId="20" unboundColumnsRight="1">
    <queryTableFields count="14">
      <queryTableField id="15" name="URL" tableColumnId="1"/>
      <queryTableField id="2" name="Name" tableColumnId="2"/>
      <queryTableField id="4" name="Date" tableColumnId="4"/>
      <queryTableField id="3" name="Refer to" tableColumnId="3"/>
      <queryTableField id="5" name="TOP 15 Projects" tableColumnId="5"/>
      <queryTableField id="6" name="SAP project Code / Project Code / Project Name" tableColumnId="6"/>
      <queryTableField id="7" name="Tooling# / Name / Tool#" tableColumnId="7"/>
      <queryTableField id="8" name="CAV." tableColumnId="8"/>
      <queryTableField id="9" name="Shots amount" tableColumnId="9"/>
      <queryTableField id="16" name="Description" tableColumnId="10"/>
      <queryTableField id="11" name="Created" tableColumnId="11"/>
      <queryTableField id="12" name="Created By" tableColumnId="12"/>
      <queryTableField id="13" name="Tool_Code" tableColumnId="13"/>
      <queryTableField id="19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11F23-018B-4343-BEE1-C8DE5193303B}" name="SumMoM" displayName="SumMoM" ref="B2:O49" tableType="queryTable" totalsRowShown="0">
  <autoFilter ref="B2:O49" xr:uid="{B39568B2-F687-4E19-93D6-7B98C17F9B58}">
    <filterColumn colId="7">
      <filters>
        <filter val="11369 / Vial Retainer / TM2A-A-000004-013375"/>
      </filters>
    </filterColumn>
  </autoFilter>
  <tableColumns count="14">
    <tableColumn id="1" xr3:uid="{8B22E1DD-7A57-436F-B489-A254E4582CCD}" uniqueName="1" name="URL" queryTableFieldId="15"/>
    <tableColumn id="2" xr3:uid="{C07E7D46-BB82-41D5-9ECF-572293ECE20D}" uniqueName="2" name="Name" queryTableFieldId="2"/>
    <tableColumn id="4" xr3:uid="{6D8AA960-DA45-414D-96C1-9457FFD78944}" uniqueName="4" name="Date" queryTableFieldId="4" dataDxfId="1"/>
    <tableColumn id="3" xr3:uid="{F1BCF426-7CF7-4A73-AA75-E27ABDD43A8C}" uniqueName="3" name="Refer to" queryTableFieldId="3"/>
    <tableColumn id="5" xr3:uid="{481B82EB-9AA5-46A1-BD57-4B7242EE8ED3}" uniqueName="5" name="TOP 15 Projects" queryTableFieldId="5"/>
    <tableColumn id="6" xr3:uid="{97A764C1-304B-42D7-A1E1-6C8F4C18F82C}" uniqueName="6" name="SAP project Code / Project Code / Project Name" queryTableFieldId="6"/>
    <tableColumn id="7" xr3:uid="{009A1E82-3C13-496A-BA8E-AF6A86E12294}" uniqueName="7" name="Tool Maker" queryTableFieldId="7"/>
    <tableColumn id="8" xr3:uid="{B45277EF-8FE4-4F59-8FD7-5D615DBFA002}" uniqueName="8" name="Tooling# / Name / Tool#" queryTableFieldId="8"/>
    <tableColumn id="9" xr3:uid="{35BEC561-71E3-4BB9-8AD0-66DFF8746EBF}" uniqueName="9" name="CAV." queryTableFieldId="9"/>
    <tableColumn id="10" xr3:uid="{BBC327B8-55EC-4088-8407-AE10CC10CD88}" uniqueName="10" name="Shots amount" queryTableFieldId="16"/>
    <tableColumn id="11" xr3:uid="{442A2051-1FB2-4D41-A4F0-31E3821765C0}" uniqueName="11" name="Description" queryTableFieldId="11" dataDxfId="0"/>
    <tableColumn id="12" xr3:uid="{725F2205-7CC6-4A1E-AAC6-17D9C0047630}" uniqueName="12" name="Created" queryTableFieldId="12"/>
    <tableColumn id="13" xr3:uid="{17FF7AB1-CEB3-4A55-A42C-33634DB1C2E9}" uniqueName="13" name="Created By" queryTableFieldId="13"/>
    <tableColumn id="14" xr3:uid="{B7B22BB2-C2E6-4792-8FF9-5E331700A372}" uniqueName="14" name="Tool_cod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AE8C-8DBE-46FB-9F85-5C7FE9FEF141}">
  <dimension ref="A1:Q109"/>
  <sheetViews>
    <sheetView tabSelected="1" zoomScaleNormal="100" workbookViewId="0">
      <selection activeCell="C20" sqref="C20"/>
    </sheetView>
  </sheetViews>
  <sheetFormatPr defaultColWidth="8.69921875" defaultRowHeight="14.4" x14ac:dyDescent="0.3"/>
  <cols>
    <col min="1" max="1" width="47.19921875" style="8" customWidth="1"/>
    <col min="2" max="2" width="72.69921875" style="15" customWidth="1"/>
    <col min="3" max="3" width="72.69921875" style="8" bestFit="1" customWidth="1"/>
    <col min="4" max="4" width="9.59765625" style="8" bestFit="1" customWidth="1"/>
    <col min="5" max="5" width="13.5" style="8" bestFit="1" customWidth="1"/>
    <col min="6" max="6" width="14.8984375" style="14" bestFit="1" customWidth="1"/>
    <col min="7" max="7" width="42.8984375" style="8" bestFit="1" customWidth="1"/>
    <col min="8" max="8" width="40.19921875" style="8" bestFit="1" customWidth="1"/>
    <col min="9" max="9" width="39" style="8" bestFit="1" customWidth="1"/>
    <col min="10" max="10" width="13.5" style="8" bestFit="1" customWidth="1"/>
    <col min="11" max="11" width="72.69921875" style="8" bestFit="1" customWidth="1"/>
    <col min="12" max="12" width="66.19921875" style="8" customWidth="1"/>
    <col min="13" max="13" width="15.8984375" style="8" bestFit="1" customWidth="1"/>
    <col min="14" max="14" width="10.69921875" style="8" bestFit="1" customWidth="1"/>
    <col min="15" max="16" width="11.09765625" style="8" bestFit="1" customWidth="1"/>
    <col min="17" max="17" width="11.09765625" style="8" hidden="1" customWidth="1"/>
    <col min="18" max="18" width="24.59765625" style="8" bestFit="1" customWidth="1"/>
    <col min="19" max="19" width="72.69921875" style="8" bestFit="1" customWidth="1"/>
    <col min="20" max="20" width="10.5" style="8" bestFit="1" customWidth="1"/>
    <col min="21" max="22" width="7.69921875" style="8" customWidth="1"/>
    <col min="23" max="16384" width="8.69921875" style="8"/>
  </cols>
  <sheetData>
    <row r="1" spans="1:16" ht="63.6" customHeight="1" x14ac:dyDescent="0.3">
      <c r="A1" s="1" t="s">
        <v>0</v>
      </c>
      <c r="B1" s="2" t="e" cm="1">
        <f t="array" aca="1" ref="B1" ca="1">_xlfn.TEXTAFTER(CELL("filename",A1),"]")&amp;" counts " &amp; (COUNTA(C:C)-1)</f>
        <v>#N/A</v>
      </c>
      <c r="C1" s="2"/>
      <c r="D1" s="2"/>
      <c r="E1" s="3" t="s">
        <v>1</v>
      </c>
      <c r="F1" s="3"/>
      <c r="G1" s="4" t="s">
        <v>2</v>
      </c>
      <c r="H1" s="5"/>
      <c r="I1" s="5"/>
      <c r="J1" s="6"/>
      <c r="K1" s="6"/>
      <c r="L1" s="6"/>
      <c r="M1" s="7"/>
      <c r="N1" s="7"/>
    </row>
    <row r="2" spans="1:16" ht="15.6" x14ac:dyDescent="0.3">
      <c r="A2" s="9" t="s">
        <v>3</v>
      </c>
      <c r="B2" t="s">
        <v>4</v>
      </c>
      <c r="C2" t="s">
        <v>3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16</v>
      </c>
    </row>
    <row r="3" spans="1:16" customFormat="1" ht="15.6" hidden="1" x14ac:dyDescent="0.3">
      <c r="A3" s="10" t="str">
        <f>IFERROR(HYPERLINK(SumMoM[[#This Row],[URL]],SumMoM[[#This Row],[Name]]),"")</f>
        <v>Meeting Minutes A11397016 TM2B Pen II Vial Retainer (2 Cav.).docx</v>
      </c>
      <c r="B3" s="11" t="s">
        <v>17</v>
      </c>
      <c r="C3" t="s">
        <v>18</v>
      </c>
      <c r="D3" s="12">
        <v>46195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s="12">
        <v>46195</v>
      </c>
      <c r="N3" t="s">
        <v>27</v>
      </c>
      <c r="O3" t="s">
        <v>28</v>
      </c>
      <c r="P3" t="s">
        <v>28</v>
      </c>
    </row>
    <row r="4" spans="1:16" customFormat="1" ht="15.6" x14ac:dyDescent="0.3">
      <c r="A4" s="10" t="str">
        <f>IFERROR(HYPERLINK(SumMoM[[#This Row],[URL]],SumMoM[[#This Row],[Name]]),"")</f>
        <v>Meeting Minutes A11369020 TM2A Pen II Vial Retainer (2 Cav.).docx</v>
      </c>
      <c r="B4" s="11" t="s">
        <v>29</v>
      </c>
      <c r="C4" t="s">
        <v>30</v>
      </c>
      <c r="D4" s="12">
        <v>46195</v>
      </c>
      <c r="E4" t="s">
        <v>19</v>
      </c>
      <c r="F4" t="s">
        <v>20</v>
      </c>
      <c r="G4" t="s">
        <v>21</v>
      </c>
      <c r="H4" t="s">
        <v>22</v>
      </c>
      <c r="I4" t="s">
        <v>31</v>
      </c>
      <c r="J4" t="s">
        <v>24</v>
      </c>
      <c r="K4" t="s">
        <v>32</v>
      </c>
      <c r="L4" t="s">
        <v>33</v>
      </c>
      <c r="M4" s="12">
        <v>46195</v>
      </c>
      <c r="N4" t="s">
        <v>34</v>
      </c>
      <c r="O4" t="s">
        <v>35</v>
      </c>
      <c r="P4" t="s">
        <v>35</v>
      </c>
    </row>
    <row r="5" spans="1:16" customFormat="1" ht="15.6" hidden="1" x14ac:dyDescent="0.3">
      <c r="A5" s="10" t="str">
        <f>IFERROR(HYPERLINK(SumMoM[[#This Row],[URL]],SumMoM[[#This Row],[Name]]),"")</f>
        <v>Meeting Minutes A11397017 TM2B Pen II Vial Retainer (2 Cav.).docx</v>
      </c>
      <c r="B5" s="11" t="s">
        <v>36</v>
      </c>
      <c r="C5" t="s">
        <v>37</v>
      </c>
      <c r="D5" s="12">
        <v>46195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33</v>
      </c>
      <c r="M5" s="12">
        <v>46195</v>
      </c>
      <c r="N5" t="s">
        <v>34</v>
      </c>
      <c r="O5" t="s">
        <v>28</v>
      </c>
      <c r="P5" t="s">
        <v>28</v>
      </c>
    </row>
    <row r="6" spans="1:16" customFormat="1" ht="15.6" x14ac:dyDescent="0.3">
      <c r="A6" s="10" t="str">
        <f>IFERROR(HYPERLINK(SumMoM[[#This Row],[URL]],SumMoM[[#This Row],[Name]]),"")</f>
        <v>Meeting Minutes A11369019A TM2A Pen II Vial Retainer (2 Cav.).docx</v>
      </c>
      <c r="B6" s="11" t="s">
        <v>38</v>
      </c>
      <c r="C6" t="s">
        <v>39</v>
      </c>
      <c r="D6" s="12">
        <v>46122</v>
      </c>
      <c r="E6" t="s">
        <v>19</v>
      </c>
      <c r="F6" t="s">
        <v>20</v>
      </c>
      <c r="G6" t="s">
        <v>21</v>
      </c>
      <c r="H6" t="s">
        <v>22</v>
      </c>
      <c r="I6" t="s">
        <v>31</v>
      </c>
      <c r="J6" t="s">
        <v>24</v>
      </c>
      <c r="K6" t="s">
        <v>32</v>
      </c>
      <c r="L6" t="s">
        <v>40</v>
      </c>
      <c r="M6" s="12">
        <v>46122</v>
      </c>
      <c r="N6" t="s">
        <v>27</v>
      </c>
      <c r="O6" t="s">
        <v>35</v>
      </c>
      <c r="P6" t="s">
        <v>35</v>
      </c>
    </row>
    <row r="7" spans="1:16" customFormat="1" ht="15.6" hidden="1" x14ac:dyDescent="0.3">
      <c r="A7" s="10" t="str">
        <f>IFERROR(HYPERLINK(SumMoM[[#This Row],[URL]],SumMoM[[#This Row],[Name]]),"")</f>
        <v>Meeting Minutes A11397015 TM2B Pen II Vial Retainer (2 Cav.).docx</v>
      </c>
      <c r="B7" s="11" t="s">
        <v>41</v>
      </c>
      <c r="C7" t="s">
        <v>42</v>
      </c>
      <c r="D7" s="12">
        <v>46120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43</v>
      </c>
      <c r="L7" t="s">
        <v>44</v>
      </c>
      <c r="M7" s="12">
        <v>46120</v>
      </c>
      <c r="N7" t="s">
        <v>27</v>
      </c>
      <c r="O7" t="s">
        <v>28</v>
      </c>
      <c r="P7" t="s">
        <v>28</v>
      </c>
    </row>
    <row r="8" spans="1:16" customFormat="1" ht="15.6" x14ac:dyDescent="0.3">
      <c r="A8" s="10" t="str">
        <f>IFERROR(HYPERLINK(SumMoM[[#This Row],[URL]],SumMoM[[#This Row],[Name]]),"")</f>
        <v>Meeting Minutes A11369019 TM2A Pen II Vial Retainer (2 Cav.).docx</v>
      </c>
      <c r="B8" s="11" t="s">
        <v>45</v>
      </c>
      <c r="C8" t="s">
        <v>46</v>
      </c>
      <c r="D8" s="12">
        <v>46111</v>
      </c>
      <c r="E8" t="s">
        <v>19</v>
      </c>
      <c r="F8" t="s">
        <v>20</v>
      </c>
      <c r="G8" t="s">
        <v>21</v>
      </c>
      <c r="H8" t="s">
        <v>22</v>
      </c>
      <c r="I8" t="s">
        <v>31</v>
      </c>
      <c r="J8" t="s">
        <v>24</v>
      </c>
      <c r="K8" t="s">
        <v>32</v>
      </c>
      <c r="L8" t="s">
        <v>47</v>
      </c>
      <c r="M8" s="12">
        <v>46111</v>
      </c>
      <c r="N8" t="s">
        <v>27</v>
      </c>
      <c r="O8" t="s">
        <v>35</v>
      </c>
      <c r="P8" t="s">
        <v>35</v>
      </c>
    </row>
    <row r="9" spans="1:16" customFormat="1" ht="15.6" hidden="1" x14ac:dyDescent="0.3">
      <c r="A9" s="10" t="str">
        <f>IFERROR(HYPERLINK(SumMoM[[#This Row],[URL]],SumMoM[[#This Row],[Name]]),"")</f>
        <v>Meeting Minutes A11397014 TM2B Pen II Vial Retainer (2 Cav.).docx</v>
      </c>
      <c r="B9" s="11" t="s">
        <v>48</v>
      </c>
      <c r="C9" t="s">
        <v>49</v>
      </c>
      <c r="D9" s="12">
        <v>46100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50</v>
      </c>
      <c r="L9" t="s">
        <v>47</v>
      </c>
      <c r="M9" s="12">
        <v>46100</v>
      </c>
      <c r="N9" t="s">
        <v>27</v>
      </c>
      <c r="O9" t="s">
        <v>28</v>
      </c>
      <c r="P9" t="s">
        <v>28</v>
      </c>
    </row>
    <row r="10" spans="1:16" customFormat="1" ht="15.6" x14ac:dyDescent="0.3">
      <c r="A10" s="10" t="str">
        <f>IFERROR(HYPERLINK(SumMoM[[#This Row],[URL]],SumMoM[[#This Row],[Name]]),"")</f>
        <v>Meeting Minutes A11369018 TM2A Pen II Vial Retainer (2 Cav.).docx</v>
      </c>
      <c r="B10" s="11" t="s">
        <v>51</v>
      </c>
      <c r="C10" t="s">
        <v>52</v>
      </c>
      <c r="D10" s="12">
        <v>46092</v>
      </c>
      <c r="E10" t="s">
        <v>19</v>
      </c>
      <c r="F10" t="s">
        <v>20</v>
      </c>
      <c r="G10" t="s">
        <v>21</v>
      </c>
      <c r="H10" t="s">
        <v>22</v>
      </c>
      <c r="I10" t="s">
        <v>31</v>
      </c>
      <c r="J10" t="s">
        <v>24</v>
      </c>
      <c r="K10" t="s">
        <v>53</v>
      </c>
      <c r="L10" t="s">
        <v>47</v>
      </c>
      <c r="M10" s="12">
        <v>46092</v>
      </c>
      <c r="N10" t="s">
        <v>27</v>
      </c>
      <c r="O10" t="s">
        <v>35</v>
      </c>
      <c r="P10" t="s">
        <v>35</v>
      </c>
    </row>
    <row r="11" spans="1:16" customFormat="1" ht="15.6" hidden="1" x14ac:dyDescent="0.3">
      <c r="A11" s="10" t="str">
        <f>IFERROR(HYPERLINK(SumMoM[[#This Row],[URL]],SumMoM[[#This Row],[Name]]),"")</f>
        <v>Meeting Minutes A11397013 TM2B Pen II Vial Retainer (2 Cav.).docx</v>
      </c>
      <c r="B11" s="11" t="s">
        <v>54</v>
      </c>
      <c r="C11" t="s">
        <v>55</v>
      </c>
      <c r="D11" s="12">
        <v>46079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56</v>
      </c>
      <c r="L11" t="s">
        <v>57</v>
      </c>
      <c r="M11" s="12">
        <v>46079</v>
      </c>
      <c r="N11" t="s">
        <v>34</v>
      </c>
      <c r="O11" t="s">
        <v>28</v>
      </c>
      <c r="P11" t="s">
        <v>28</v>
      </c>
    </row>
    <row r="12" spans="1:16" customFormat="1" ht="15.6" x14ac:dyDescent="0.3">
      <c r="A12" s="10" t="str">
        <f>IFERROR(HYPERLINK(SumMoM[[#This Row],[URL]],SumMoM[[#This Row],[Name]]),"")</f>
        <v>Meeting Minutes A11369017 TM2 Pen II Vial Retainer (2 Cav.).docx</v>
      </c>
      <c r="B12" s="11" t="s">
        <v>58</v>
      </c>
      <c r="C12" t="s">
        <v>59</v>
      </c>
      <c r="D12" s="12">
        <v>46079</v>
      </c>
      <c r="E12" t="s">
        <v>19</v>
      </c>
      <c r="F12" t="s">
        <v>20</v>
      </c>
      <c r="G12" t="s">
        <v>21</v>
      </c>
      <c r="H12" t="s">
        <v>22</v>
      </c>
      <c r="I12" t="s">
        <v>31</v>
      </c>
      <c r="J12" t="s">
        <v>24</v>
      </c>
      <c r="K12" t="s">
        <v>60</v>
      </c>
      <c r="L12" t="s">
        <v>57</v>
      </c>
      <c r="M12" s="12">
        <v>46079</v>
      </c>
      <c r="N12" t="s">
        <v>34</v>
      </c>
      <c r="O12" t="s">
        <v>35</v>
      </c>
      <c r="P12" t="s">
        <v>35</v>
      </c>
    </row>
    <row r="13" spans="1:16" customFormat="1" ht="15.6" hidden="1" x14ac:dyDescent="0.3">
      <c r="A13" s="10" t="str">
        <f>IFERROR(HYPERLINK(SumMoM[[#This Row],[URL]],SumMoM[[#This Row],[Name]]),"")</f>
        <v>Meeting Minutes A11397012 TM2B Pen II Vial Retainer (2 Cav.).docx</v>
      </c>
      <c r="B13" s="11" t="s">
        <v>61</v>
      </c>
      <c r="C13" t="s">
        <v>62</v>
      </c>
      <c r="D13" s="12">
        <v>46078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56</v>
      </c>
      <c r="L13" t="s">
        <v>63</v>
      </c>
      <c r="M13" s="12">
        <v>46078</v>
      </c>
      <c r="N13" t="s">
        <v>27</v>
      </c>
      <c r="O13" t="s">
        <v>28</v>
      </c>
      <c r="P13" t="s">
        <v>28</v>
      </c>
    </row>
    <row r="14" spans="1:16" customFormat="1" ht="15.6" hidden="1" x14ac:dyDescent="0.3">
      <c r="A14" s="10" t="str">
        <f>IFERROR(HYPERLINK(SumMoM[[#This Row],[URL]],SumMoM[[#This Row],[Name]]),"")</f>
        <v>Meeting Minutes A11397011 TM2B Pen II Vial Retainer (2 Cav.).docx</v>
      </c>
      <c r="B14" s="11" t="s">
        <v>64</v>
      </c>
      <c r="C14" t="s">
        <v>65</v>
      </c>
      <c r="D14" s="12">
        <v>46056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66</v>
      </c>
      <c r="L14" t="s">
        <v>47</v>
      </c>
      <c r="M14" s="12">
        <v>46056</v>
      </c>
      <c r="N14" t="s">
        <v>27</v>
      </c>
      <c r="O14" t="s">
        <v>28</v>
      </c>
      <c r="P14" t="s">
        <v>28</v>
      </c>
    </row>
    <row r="15" spans="1:16" customFormat="1" ht="15.6" hidden="1" x14ac:dyDescent="0.3">
      <c r="A15" s="10" t="str">
        <f>IFERROR(HYPERLINK(SumMoM[[#This Row],[URL]],SumMoM[[#This Row],[Name]]),"")</f>
        <v>Meeting Minutes A11397010 TM2B Pen II Vial Retainer (2 Cav.).docx</v>
      </c>
      <c r="B15" s="11" t="s">
        <v>67</v>
      </c>
      <c r="C15" t="s">
        <v>68</v>
      </c>
      <c r="D15" s="12">
        <v>46029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69</v>
      </c>
      <c r="L15" t="s">
        <v>47</v>
      </c>
      <c r="M15" s="12">
        <v>46029</v>
      </c>
      <c r="N15" t="s">
        <v>27</v>
      </c>
      <c r="O15" t="s">
        <v>28</v>
      </c>
      <c r="P15" t="s">
        <v>28</v>
      </c>
    </row>
    <row r="16" spans="1:16" customFormat="1" ht="15.6" x14ac:dyDescent="0.3">
      <c r="A16" s="10" t="str">
        <f>IFERROR(HYPERLINK(SumMoM[[#This Row],[URL]],SumMoM[[#This Row],[Name]]),"")</f>
        <v>Meeting Minutes A11369016A TM2 Pen II Vial Retainer (2 Cav.).docx</v>
      </c>
      <c r="B16" s="11" t="s">
        <v>70</v>
      </c>
      <c r="C16" t="s">
        <v>71</v>
      </c>
      <c r="D16" s="12">
        <v>45323</v>
      </c>
      <c r="E16" t="s">
        <v>72</v>
      </c>
      <c r="F16" t="s">
        <v>20</v>
      </c>
      <c r="G16" t="s">
        <v>21</v>
      </c>
      <c r="H16" t="s">
        <v>22</v>
      </c>
      <c r="I16" t="s">
        <v>31</v>
      </c>
      <c r="J16" t="s">
        <v>24</v>
      </c>
      <c r="K16" t="s">
        <v>73</v>
      </c>
      <c r="L16" t="s">
        <v>74</v>
      </c>
      <c r="M16" s="12">
        <v>45322</v>
      </c>
      <c r="N16" t="s">
        <v>75</v>
      </c>
      <c r="O16" t="s">
        <v>35</v>
      </c>
      <c r="P16" t="s">
        <v>35</v>
      </c>
    </row>
    <row r="17" spans="1:16" customFormat="1" ht="15.6" x14ac:dyDescent="0.3">
      <c r="A17" s="10" t="str">
        <f>IFERROR(HYPERLINK(SumMoM[[#This Row],[URL]],SumMoM[[#This Row],[Name]]),"")</f>
        <v>Meeting Minutes A11369016 TM2 Pen II Vial Retainer (2 Cav.).docx</v>
      </c>
      <c r="B17" s="11" t="s">
        <v>76</v>
      </c>
      <c r="C17" t="s">
        <v>77</v>
      </c>
      <c r="D17" s="12">
        <v>45315</v>
      </c>
      <c r="E17" t="s">
        <v>72</v>
      </c>
      <c r="F17" t="s">
        <v>20</v>
      </c>
      <c r="G17" t="s">
        <v>21</v>
      </c>
      <c r="H17" t="s">
        <v>22</v>
      </c>
      <c r="I17" t="s">
        <v>31</v>
      </c>
      <c r="J17" t="s">
        <v>24</v>
      </c>
      <c r="K17" t="s">
        <v>73</v>
      </c>
      <c r="L17" t="s">
        <v>74</v>
      </c>
      <c r="M17" s="12">
        <v>45314</v>
      </c>
      <c r="N17" t="s">
        <v>75</v>
      </c>
      <c r="O17" t="s">
        <v>35</v>
      </c>
      <c r="P17" t="s">
        <v>35</v>
      </c>
    </row>
    <row r="18" spans="1:16" customFormat="1" ht="15.6" hidden="1" x14ac:dyDescent="0.3">
      <c r="A18" s="10" t="str">
        <f>IFERROR(HYPERLINK(SumMoM[[#This Row],[URL]],SumMoM[[#This Row],[Name]]),"")</f>
        <v>Meeting Minutes A11397009-U TM2 Pen II Vial Retainer (2 Cav.).docx</v>
      </c>
      <c r="B18" s="11" t="s">
        <v>78</v>
      </c>
      <c r="C18" t="s">
        <v>79</v>
      </c>
      <c r="D18" s="12">
        <v>45293</v>
      </c>
      <c r="E18" t="s">
        <v>72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80</v>
      </c>
      <c r="L18" t="s">
        <v>81</v>
      </c>
      <c r="M18" s="12">
        <v>45293</v>
      </c>
      <c r="N18" t="s">
        <v>75</v>
      </c>
      <c r="O18" t="s">
        <v>28</v>
      </c>
      <c r="P18" t="s">
        <v>28</v>
      </c>
    </row>
    <row r="19" spans="1:16" customFormat="1" ht="15.6" x14ac:dyDescent="0.3">
      <c r="A19" s="10" t="str">
        <f>IFERROR(HYPERLINK(SumMoM[[#This Row],[URL]],SumMoM[[#This Row],[Name]]),"")</f>
        <v>Meeting Minutes A11369015A TM2 Pen II Vial Retainer (2 Cav.).docx</v>
      </c>
      <c r="B19" s="11" t="s">
        <v>82</v>
      </c>
      <c r="C19" t="s">
        <v>83</v>
      </c>
      <c r="D19" s="12">
        <v>45244</v>
      </c>
      <c r="E19" t="s">
        <v>72</v>
      </c>
      <c r="F19" t="s">
        <v>20</v>
      </c>
      <c r="G19" t="s">
        <v>21</v>
      </c>
      <c r="H19" t="s">
        <v>22</v>
      </c>
      <c r="I19" t="s">
        <v>31</v>
      </c>
      <c r="J19" t="s">
        <v>24</v>
      </c>
      <c r="K19" t="s">
        <v>84</v>
      </c>
      <c r="L19" t="s">
        <v>47</v>
      </c>
      <c r="M19" s="12">
        <v>45244</v>
      </c>
      <c r="N19" t="s">
        <v>75</v>
      </c>
      <c r="O19" t="s">
        <v>35</v>
      </c>
      <c r="P19" t="s">
        <v>35</v>
      </c>
    </row>
    <row r="20" spans="1:16" customFormat="1" ht="15.6" x14ac:dyDescent="0.3">
      <c r="A20" s="10" t="str">
        <f>IFERROR(HYPERLINK(SumMoM[[#This Row],[URL]],SumMoM[[#This Row],[Name]]),"")</f>
        <v>Meeting Minutes A11369015 TM2 Pen II Vial Retainer (2 Cav.).docx</v>
      </c>
      <c r="B20" s="11" t="s">
        <v>85</v>
      </c>
      <c r="C20" t="s">
        <v>86</v>
      </c>
      <c r="D20" s="12">
        <v>45226</v>
      </c>
      <c r="E20" t="s">
        <v>72</v>
      </c>
      <c r="F20" t="s">
        <v>20</v>
      </c>
      <c r="G20" t="s">
        <v>21</v>
      </c>
      <c r="H20" t="s">
        <v>22</v>
      </c>
      <c r="I20" t="s">
        <v>31</v>
      </c>
      <c r="J20" t="s">
        <v>24</v>
      </c>
      <c r="K20" t="s">
        <v>84</v>
      </c>
      <c r="L20" t="s">
        <v>47</v>
      </c>
      <c r="M20" s="12">
        <v>45226</v>
      </c>
      <c r="N20" t="s">
        <v>75</v>
      </c>
      <c r="O20" t="s">
        <v>35</v>
      </c>
      <c r="P20" t="s">
        <v>35</v>
      </c>
    </row>
    <row r="21" spans="1:16" customFormat="1" ht="15.6" x14ac:dyDescent="0.3">
      <c r="A21" s="10" t="str">
        <f>IFERROR(HYPERLINK(SumMoM[[#This Row],[URL]],SumMoM[[#This Row],[Name]]),"")</f>
        <v>Meeting Minutes A11369014A TM2 Pen II Vial Retainer (2 Cav.).docx</v>
      </c>
      <c r="B21" s="11" t="s">
        <v>87</v>
      </c>
      <c r="C21" t="s">
        <v>88</v>
      </c>
      <c r="D21" s="12">
        <v>45212</v>
      </c>
      <c r="E21" t="s">
        <v>72</v>
      </c>
      <c r="F21" t="s">
        <v>20</v>
      </c>
      <c r="G21" t="s">
        <v>21</v>
      </c>
      <c r="H21" t="s">
        <v>22</v>
      </c>
      <c r="I21" t="s">
        <v>31</v>
      </c>
      <c r="J21" t="s">
        <v>24</v>
      </c>
      <c r="K21" t="s">
        <v>89</v>
      </c>
      <c r="L21" t="s">
        <v>90</v>
      </c>
      <c r="M21" s="12">
        <v>45212</v>
      </c>
      <c r="N21" t="s">
        <v>75</v>
      </c>
      <c r="O21" t="s">
        <v>35</v>
      </c>
      <c r="P21" t="s">
        <v>35</v>
      </c>
    </row>
    <row r="22" spans="1:16" customFormat="1" ht="15.6" x14ac:dyDescent="0.3">
      <c r="A22" s="10" t="str">
        <f>IFERROR(HYPERLINK(SumMoM[[#This Row],[URL]],SumMoM[[#This Row],[Name]]),"")</f>
        <v>Meeting Minutes A11369014 TM2 Pen II Vial Retainer (2 Cav.).docx</v>
      </c>
      <c r="B22" s="11" t="s">
        <v>91</v>
      </c>
      <c r="C22" t="s">
        <v>92</v>
      </c>
      <c r="D22" s="12">
        <v>45145</v>
      </c>
      <c r="E22" t="s">
        <v>72</v>
      </c>
      <c r="F22" t="s">
        <v>20</v>
      </c>
      <c r="G22" t="s">
        <v>21</v>
      </c>
      <c r="H22" t="s">
        <v>22</v>
      </c>
      <c r="I22" t="s">
        <v>31</v>
      </c>
      <c r="J22" t="s">
        <v>24</v>
      </c>
      <c r="K22" t="s">
        <v>89</v>
      </c>
      <c r="L22" t="s">
        <v>93</v>
      </c>
      <c r="M22" s="12">
        <v>45145</v>
      </c>
      <c r="N22" t="s">
        <v>75</v>
      </c>
      <c r="O22" t="s">
        <v>35</v>
      </c>
      <c r="P22" t="s">
        <v>35</v>
      </c>
    </row>
    <row r="23" spans="1:16" customFormat="1" ht="15.6" hidden="1" x14ac:dyDescent="0.3">
      <c r="A23" s="10" t="str">
        <f>IFERROR(HYPERLINK(SumMoM[[#This Row],[URL]],SumMoM[[#This Row],[Name]]),"")</f>
        <v>Meeting Minutes A11397008 TM2 Pen II Vial Retainer (2 Cav.).docx</v>
      </c>
      <c r="B23" s="11" t="s">
        <v>94</v>
      </c>
      <c r="C23" t="s">
        <v>95</v>
      </c>
      <c r="D23" s="12">
        <v>45145</v>
      </c>
      <c r="E23" t="s">
        <v>72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96</v>
      </c>
      <c r="L23" t="s">
        <v>74</v>
      </c>
      <c r="M23" s="12">
        <v>45145</v>
      </c>
      <c r="N23" t="s">
        <v>75</v>
      </c>
      <c r="O23" t="s">
        <v>28</v>
      </c>
      <c r="P23" t="s">
        <v>28</v>
      </c>
    </row>
    <row r="24" spans="1:16" customFormat="1" ht="15.6" hidden="1" x14ac:dyDescent="0.3">
      <c r="A24" s="10" t="str">
        <f>IFERROR(HYPERLINK(SumMoM[[#This Row],[URL]],SumMoM[[#This Row],[Name]]),"")</f>
        <v>Meeting Minutes A11397008A TM2 Pen II Vial Retainer (2 Cav.).docx</v>
      </c>
      <c r="B24" s="11" t="s">
        <v>97</v>
      </c>
      <c r="C24" t="s">
        <v>98</v>
      </c>
      <c r="D24" s="12">
        <v>45145</v>
      </c>
      <c r="E24" t="s">
        <v>72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96</v>
      </c>
      <c r="L24" t="s">
        <v>74</v>
      </c>
      <c r="M24" s="12">
        <v>45167</v>
      </c>
      <c r="N24" t="s">
        <v>75</v>
      </c>
      <c r="O24" t="s">
        <v>28</v>
      </c>
      <c r="P24" t="s">
        <v>28</v>
      </c>
    </row>
    <row r="25" spans="1:16" customFormat="1" ht="15.6" x14ac:dyDescent="0.3">
      <c r="A25" s="10" t="str">
        <f>IFERROR(HYPERLINK(SumMoM[[#This Row],[URL]],SumMoM[[#This Row],[Name]]),"")</f>
        <v>Meeting Minutes A11369013 TM2A Pen II Vial Retainer (2 Cav.).docx</v>
      </c>
      <c r="B25" s="11" t="s">
        <v>99</v>
      </c>
      <c r="C25" t="s">
        <v>100</v>
      </c>
      <c r="D25" s="12">
        <v>44966</v>
      </c>
      <c r="E25" t="s">
        <v>72</v>
      </c>
      <c r="F25" t="s">
        <v>20</v>
      </c>
      <c r="G25" t="s">
        <v>21</v>
      </c>
      <c r="H25" t="s">
        <v>22</v>
      </c>
      <c r="I25" t="s">
        <v>31</v>
      </c>
      <c r="J25" t="s">
        <v>24</v>
      </c>
      <c r="K25" t="s">
        <v>101</v>
      </c>
      <c r="L25" t="s">
        <v>93</v>
      </c>
      <c r="M25" s="12">
        <v>44966</v>
      </c>
      <c r="N25" t="s">
        <v>75</v>
      </c>
      <c r="O25" t="s">
        <v>35</v>
      </c>
      <c r="P25" t="s">
        <v>35</v>
      </c>
    </row>
    <row r="26" spans="1:16" customFormat="1" ht="15.6" x14ac:dyDescent="0.3">
      <c r="A26" s="10" t="str">
        <f>IFERROR(HYPERLINK(SumMoM[[#This Row],[URL]],SumMoM[[#This Row],[Name]]),"")</f>
        <v>Meeting Minutes A11369012 TM2A Pen II Vial Retainer (2 Cav.).docx</v>
      </c>
      <c r="B26" s="11" t="s">
        <v>102</v>
      </c>
      <c r="C26" t="s">
        <v>103</v>
      </c>
      <c r="D26" s="12">
        <v>44897</v>
      </c>
      <c r="E26" t="s">
        <v>72</v>
      </c>
      <c r="F26" t="s">
        <v>20</v>
      </c>
      <c r="G26" t="s">
        <v>21</v>
      </c>
      <c r="H26" t="s">
        <v>22</v>
      </c>
      <c r="I26" t="s">
        <v>31</v>
      </c>
      <c r="J26" t="s">
        <v>24</v>
      </c>
      <c r="K26" t="s">
        <v>104</v>
      </c>
      <c r="L26" t="s">
        <v>105</v>
      </c>
      <c r="M26" s="12">
        <v>44897</v>
      </c>
      <c r="N26" t="s">
        <v>75</v>
      </c>
      <c r="O26" t="s">
        <v>35</v>
      </c>
      <c r="P26" t="s">
        <v>35</v>
      </c>
    </row>
    <row r="27" spans="1:16" customFormat="1" ht="15.6" hidden="1" x14ac:dyDescent="0.3">
      <c r="A27" s="10" t="str">
        <f>IFERROR(HYPERLINK(SumMoM[[#This Row],[URL]],SumMoM[[#This Row],[Name]]),"")</f>
        <v>Meeting Minutes A11397007 TM2B PENII-Vial Retainer (2 cav.).docx</v>
      </c>
      <c r="B27" s="11" t="s">
        <v>106</v>
      </c>
      <c r="C27" t="s">
        <v>107</v>
      </c>
      <c r="D27" s="12">
        <v>44897</v>
      </c>
      <c r="E27" t="s">
        <v>72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108</v>
      </c>
      <c r="L27" t="s">
        <v>44</v>
      </c>
      <c r="M27" s="12">
        <v>44897</v>
      </c>
      <c r="N27" t="s">
        <v>75</v>
      </c>
      <c r="O27" t="s">
        <v>28</v>
      </c>
      <c r="P27" t="s">
        <v>28</v>
      </c>
    </row>
    <row r="28" spans="1:16" customFormat="1" ht="15.6" hidden="1" x14ac:dyDescent="0.3">
      <c r="A28" s="10" t="str">
        <f>IFERROR(HYPERLINK(SumMoM[[#This Row],[URL]],SumMoM[[#This Row],[Name]]),"")</f>
        <v>Meeting Minutes A11397006 TM2B PENII-Vial Retainer (2 cav.).docx</v>
      </c>
      <c r="B28" s="11" t="s">
        <v>109</v>
      </c>
      <c r="C28" t="s">
        <v>110</v>
      </c>
      <c r="D28" s="12">
        <v>44837</v>
      </c>
      <c r="E28" t="s">
        <v>72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111</v>
      </c>
      <c r="L28" t="s">
        <v>74</v>
      </c>
      <c r="M28" s="12">
        <v>44838</v>
      </c>
      <c r="N28" t="s">
        <v>75</v>
      </c>
      <c r="O28" t="s">
        <v>28</v>
      </c>
      <c r="P28" t="s">
        <v>28</v>
      </c>
    </row>
    <row r="29" spans="1:16" customFormat="1" ht="15.6" x14ac:dyDescent="0.3">
      <c r="A29" s="10" t="str">
        <f>IFERROR(HYPERLINK(SumMoM[[#This Row],[URL]],SumMoM[[#This Row],[Name]]),"")</f>
        <v>Meeting Minutes A11369011 TM2A PenII Vial Retainer (2 Cav.).docx</v>
      </c>
      <c r="B29" s="11" t="s">
        <v>112</v>
      </c>
      <c r="C29" t="s">
        <v>113</v>
      </c>
      <c r="D29" s="12">
        <v>44827</v>
      </c>
      <c r="E29" t="s">
        <v>72</v>
      </c>
      <c r="F29" t="s">
        <v>20</v>
      </c>
      <c r="G29" t="s">
        <v>21</v>
      </c>
      <c r="H29" t="s">
        <v>22</v>
      </c>
      <c r="I29" t="s">
        <v>31</v>
      </c>
      <c r="J29" t="s">
        <v>24</v>
      </c>
      <c r="K29" t="s">
        <v>114</v>
      </c>
      <c r="L29" t="s">
        <v>115</v>
      </c>
      <c r="M29" s="12">
        <v>44827</v>
      </c>
      <c r="N29" t="s">
        <v>75</v>
      </c>
      <c r="O29" t="s">
        <v>35</v>
      </c>
      <c r="P29" t="s">
        <v>35</v>
      </c>
    </row>
    <row r="30" spans="1:16" customFormat="1" ht="15.6" hidden="1" x14ac:dyDescent="0.3">
      <c r="A30" s="10" t="str">
        <f>IFERROR(HYPERLINK(SumMoM[[#This Row],[URL]],SumMoM[[#This Row],[Name]]),"")</f>
        <v>Meeting Minutes A1139705 TM2B PENII-Vial Retainer (2 cav.).docx</v>
      </c>
      <c r="B30" s="11" t="s">
        <v>116</v>
      </c>
      <c r="C30" t="s">
        <v>117</v>
      </c>
      <c r="D30" s="12">
        <v>44781</v>
      </c>
      <c r="E30" t="s">
        <v>72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118</v>
      </c>
      <c r="L30" t="s">
        <v>74</v>
      </c>
      <c r="M30" s="12">
        <v>44781</v>
      </c>
      <c r="N30" t="s">
        <v>75</v>
      </c>
      <c r="O30" t="s">
        <v>28</v>
      </c>
      <c r="P30" t="s">
        <v>28</v>
      </c>
    </row>
    <row r="31" spans="1:16" customFormat="1" ht="15.6" x14ac:dyDescent="0.3">
      <c r="A31" s="10" t="str">
        <f>IFERROR(HYPERLINK(SumMoM[[#This Row],[URL]],SumMoM[[#This Row],[Name]]),"")</f>
        <v>Meeting Minutes A1136910A TM2A PenII Vial Retainer (2 Cav.).docx</v>
      </c>
      <c r="B31" s="11" t="s">
        <v>119</v>
      </c>
      <c r="C31" t="s">
        <v>120</v>
      </c>
      <c r="D31" s="12">
        <v>44735</v>
      </c>
      <c r="E31" t="s">
        <v>72</v>
      </c>
      <c r="F31" t="s">
        <v>20</v>
      </c>
      <c r="G31" t="s">
        <v>21</v>
      </c>
      <c r="H31" t="s">
        <v>22</v>
      </c>
      <c r="I31" t="s">
        <v>31</v>
      </c>
      <c r="J31" t="s">
        <v>24</v>
      </c>
      <c r="K31" t="s">
        <v>121</v>
      </c>
      <c r="L31" t="s">
        <v>122</v>
      </c>
      <c r="M31" s="12">
        <v>44735</v>
      </c>
      <c r="N31" t="s">
        <v>75</v>
      </c>
      <c r="O31" t="s">
        <v>35</v>
      </c>
      <c r="P31" t="s">
        <v>35</v>
      </c>
    </row>
    <row r="32" spans="1:16" customFormat="1" ht="15.6" hidden="1" x14ac:dyDescent="0.3">
      <c r="A32" s="10" t="str">
        <f>IFERROR(HYPERLINK(SumMoM[[#This Row],[URL]],SumMoM[[#This Row],[Name]]),"")</f>
        <v>Meeting Minutes A1139704 TM2B PENII-Vial Retainer (2 cav).docx</v>
      </c>
      <c r="B32" s="11" t="s">
        <v>123</v>
      </c>
      <c r="C32" t="s">
        <v>124</v>
      </c>
      <c r="D32" s="12">
        <v>44735</v>
      </c>
      <c r="E32" t="s">
        <v>72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118</v>
      </c>
      <c r="L32" t="s">
        <v>125</v>
      </c>
      <c r="M32" s="12">
        <v>44735</v>
      </c>
      <c r="N32" t="s">
        <v>75</v>
      </c>
      <c r="O32" t="s">
        <v>28</v>
      </c>
      <c r="P32" t="s">
        <v>28</v>
      </c>
    </row>
    <row r="33" spans="1:16" customFormat="1" ht="15.6" x14ac:dyDescent="0.3">
      <c r="A33" s="10" t="str">
        <f>IFERROR(HYPERLINK(SumMoM[[#This Row],[URL]],SumMoM[[#This Row],[Name]]),"")</f>
        <v>Meeting Minutes A1136910 TM2A PenII Vial Retainer (2 Cav.).docx</v>
      </c>
      <c r="B33" s="11" t="s">
        <v>126</v>
      </c>
      <c r="C33" t="s">
        <v>127</v>
      </c>
      <c r="D33" s="12">
        <v>44728</v>
      </c>
      <c r="E33" t="s">
        <v>72</v>
      </c>
      <c r="F33" t="s">
        <v>20</v>
      </c>
      <c r="G33" t="s">
        <v>21</v>
      </c>
      <c r="H33" t="s">
        <v>22</v>
      </c>
      <c r="I33" t="s">
        <v>31</v>
      </c>
      <c r="J33" t="s">
        <v>24</v>
      </c>
      <c r="K33" t="s">
        <v>121</v>
      </c>
      <c r="L33" t="s">
        <v>122</v>
      </c>
      <c r="M33" s="12">
        <v>44728</v>
      </c>
      <c r="N33" t="s">
        <v>75</v>
      </c>
      <c r="O33" t="s">
        <v>35</v>
      </c>
      <c r="P33" t="s">
        <v>35</v>
      </c>
    </row>
    <row r="34" spans="1:16" customFormat="1" ht="15.6" hidden="1" x14ac:dyDescent="0.3">
      <c r="A34" s="10" t="str">
        <f>IFERROR(HYPERLINK(SumMoM[[#This Row],[URL]],SumMoM[[#This Row],[Name]]),"")</f>
        <v>Meeting Minutes A1139703 TM2B PENII-Vial Retainer (2 cav).docx</v>
      </c>
      <c r="B34" s="11" t="s">
        <v>128</v>
      </c>
      <c r="C34" t="s">
        <v>129</v>
      </c>
      <c r="D34" s="12">
        <v>44684</v>
      </c>
      <c r="E34" t="s">
        <v>72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130</v>
      </c>
      <c r="L34" t="s">
        <v>122</v>
      </c>
      <c r="M34" s="12">
        <v>44684</v>
      </c>
      <c r="N34" t="s">
        <v>75</v>
      </c>
      <c r="O34" t="s">
        <v>28</v>
      </c>
      <c r="P34" t="s">
        <v>28</v>
      </c>
    </row>
    <row r="35" spans="1:16" customFormat="1" ht="15.6" x14ac:dyDescent="0.3">
      <c r="A35" s="10" t="str">
        <f>IFERROR(HYPERLINK(SumMoM[[#This Row],[URL]],SumMoM[[#This Row],[Name]]),"")</f>
        <v>Meeting Minutes A1136909 TM2A PenII Vial Retainer (2 Cav.).docx</v>
      </c>
      <c r="B35" s="11" t="s">
        <v>131</v>
      </c>
      <c r="C35" t="s">
        <v>132</v>
      </c>
      <c r="D35" s="12">
        <v>44677</v>
      </c>
      <c r="E35" t="s">
        <v>72</v>
      </c>
      <c r="F35" t="s">
        <v>20</v>
      </c>
      <c r="G35" t="s">
        <v>21</v>
      </c>
      <c r="H35" t="s">
        <v>22</v>
      </c>
      <c r="I35" t="s">
        <v>31</v>
      </c>
      <c r="J35" t="s">
        <v>24</v>
      </c>
      <c r="K35" t="s">
        <v>121</v>
      </c>
      <c r="L35" t="s">
        <v>122</v>
      </c>
      <c r="M35" s="12">
        <v>44677</v>
      </c>
      <c r="N35" t="s">
        <v>75</v>
      </c>
      <c r="O35" t="s">
        <v>35</v>
      </c>
      <c r="P35" t="s">
        <v>35</v>
      </c>
    </row>
    <row r="36" spans="1:16" customFormat="1" ht="15.6" x14ac:dyDescent="0.3">
      <c r="A36" s="10" t="str">
        <f>IFERROR(HYPERLINK(SumMoM[[#This Row],[URL]],SumMoM[[#This Row],[Name]]),"")</f>
        <v>Meeting Minutes A1136908 TM2A PenII Vial Retainer (2-Cav.).docx</v>
      </c>
      <c r="B36" s="11" t="s">
        <v>133</v>
      </c>
      <c r="C36" t="s">
        <v>134</v>
      </c>
      <c r="D36" s="12">
        <v>44650</v>
      </c>
      <c r="E36" t="s">
        <v>72</v>
      </c>
      <c r="F36" t="s">
        <v>20</v>
      </c>
      <c r="G36" t="s">
        <v>21</v>
      </c>
      <c r="H36" t="s">
        <v>22</v>
      </c>
      <c r="I36" t="s">
        <v>31</v>
      </c>
      <c r="J36" t="s">
        <v>24</v>
      </c>
      <c r="K36" t="s">
        <v>135</v>
      </c>
      <c r="L36" t="s">
        <v>136</v>
      </c>
      <c r="M36" s="12">
        <v>44650</v>
      </c>
      <c r="N36" t="s">
        <v>137</v>
      </c>
      <c r="O36" t="s">
        <v>35</v>
      </c>
      <c r="P36" t="s">
        <v>35</v>
      </c>
    </row>
    <row r="37" spans="1:16" customFormat="1" ht="15.6" x14ac:dyDescent="0.3">
      <c r="A37" s="10" t="str">
        <f>IFERROR(HYPERLINK(SumMoM[[#This Row],[URL]],SumMoM[[#This Row],[Name]]),"")</f>
        <v>Meeting Minutes A1136907A TM2A PenII Vial Retainer (2-Cav.).docx</v>
      </c>
      <c r="B37" s="11" t="s">
        <v>138</v>
      </c>
      <c r="C37" t="s">
        <v>139</v>
      </c>
      <c r="D37" s="12">
        <v>44602</v>
      </c>
      <c r="E37" t="s">
        <v>72</v>
      </c>
      <c r="F37" t="s">
        <v>20</v>
      </c>
      <c r="G37" t="s">
        <v>21</v>
      </c>
      <c r="H37" t="s">
        <v>22</v>
      </c>
      <c r="I37" t="s">
        <v>31</v>
      </c>
      <c r="J37" t="s">
        <v>24</v>
      </c>
      <c r="K37" t="s">
        <v>140</v>
      </c>
      <c r="L37" t="s">
        <v>136</v>
      </c>
      <c r="M37" s="12">
        <v>44602</v>
      </c>
      <c r="N37" t="s">
        <v>137</v>
      </c>
      <c r="O37" t="s">
        <v>35</v>
      </c>
      <c r="P37" t="s">
        <v>35</v>
      </c>
    </row>
    <row r="38" spans="1:16" customFormat="1" ht="15.6" x14ac:dyDescent="0.3">
      <c r="A38" s="10" t="str">
        <f>IFERROR(HYPERLINK(SumMoM[[#This Row],[URL]],SumMoM[[#This Row],[Name]]),"")</f>
        <v>Meeting Minutes A1136907 TM2A PenII Vial Retainer (2-Cav.).docx</v>
      </c>
      <c r="B38" s="11" t="s">
        <v>141</v>
      </c>
      <c r="C38" t="s">
        <v>142</v>
      </c>
      <c r="D38" s="12">
        <v>44585</v>
      </c>
      <c r="E38" t="s">
        <v>72</v>
      </c>
      <c r="F38" t="s">
        <v>20</v>
      </c>
      <c r="G38" t="s">
        <v>21</v>
      </c>
      <c r="H38" t="s">
        <v>22</v>
      </c>
      <c r="I38" t="s">
        <v>31</v>
      </c>
      <c r="J38" t="s">
        <v>24</v>
      </c>
      <c r="K38" t="s">
        <v>140</v>
      </c>
      <c r="L38" t="s">
        <v>136</v>
      </c>
      <c r="M38" s="12">
        <v>44585</v>
      </c>
      <c r="N38" t="s">
        <v>137</v>
      </c>
      <c r="O38" t="s">
        <v>35</v>
      </c>
      <c r="P38" t="s">
        <v>35</v>
      </c>
    </row>
    <row r="39" spans="1:16" customFormat="1" ht="15.6" x14ac:dyDescent="0.3">
      <c r="A39" s="10" t="str">
        <f>IFERROR(HYPERLINK(SumMoM[[#This Row],[URL]],SumMoM[[#This Row],[Name]]),"")</f>
        <v>Meeting Minutes A1136906 TM2A PenII Vial Retainer (2-Cav.).docx</v>
      </c>
      <c r="B39" s="11" t="s">
        <v>143</v>
      </c>
      <c r="C39" t="s">
        <v>144</v>
      </c>
      <c r="D39" s="12">
        <v>44539</v>
      </c>
      <c r="E39" t="s">
        <v>72</v>
      </c>
      <c r="F39" t="s">
        <v>20</v>
      </c>
      <c r="G39" t="s">
        <v>21</v>
      </c>
      <c r="H39" t="s">
        <v>22</v>
      </c>
      <c r="I39" t="s">
        <v>31</v>
      </c>
      <c r="J39" t="s">
        <v>24</v>
      </c>
      <c r="K39" t="s">
        <v>145</v>
      </c>
      <c r="L39" t="s">
        <v>74</v>
      </c>
      <c r="M39" s="12">
        <v>44539</v>
      </c>
      <c r="N39" t="s">
        <v>146</v>
      </c>
      <c r="O39" t="s">
        <v>35</v>
      </c>
      <c r="P39" t="s">
        <v>35</v>
      </c>
    </row>
    <row r="40" spans="1:16" customFormat="1" ht="15.6" x14ac:dyDescent="0.3">
      <c r="A40" s="10" t="str">
        <f>IFERROR(HYPERLINK(SumMoM[[#This Row],[URL]],SumMoM[[#This Row],[Name]]),"")</f>
        <v>Meeting Minutes A1136905 TM2A PenII Vial Retainer (2-Cav.).docx</v>
      </c>
      <c r="B40" s="11" t="s">
        <v>147</v>
      </c>
      <c r="C40" t="s">
        <v>148</v>
      </c>
      <c r="D40" s="12">
        <v>44410</v>
      </c>
      <c r="E40" t="s">
        <v>72</v>
      </c>
      <c r="F40" t="s">
        <v>20</v>
      </c>
      <c r="G40" t="s">
        <v>21</v>
      </c>
      <c r="H40" t="s">
        <v>22</v>
      </c>
      <c r="I40" t="s">
        <v>31</v>
      </c>
      <c r="J40" t="s">
        <v>24</v>
      </c>
      <c r="K40" t="s">
        <v>149</v>
      </c>
      <c r="L40" t="s">
        <v>74</v>
      </c>
      <c r="M40" s="12">
        <v>44410</v>
      </c>
      <c r="N40" t="s">
        <v>146</v>
      </c>
      <c r="O40" t="s">
        <v>35</v>
      </c>
      <c r="P40" t="s">
        <v>35</v>
      </c>
    </row>
    <row r="41" spans="1:16" customFormat="1" ht="15.6" x14ac:dyDescent="0.3">
      <c r="A41" s="10" t="str">
        <f>IFERROR(HYPERLINK(SumMoM[[#This Row],[URL]],SumMoM[[#This Row],[Name]]),"")</f>
        <v>Meeting Minutes A1136904 TM2A PenII Vial Retainer (2-Cav).docx</v>
      </c>
      <c r="B41" s="11" t="s">
        <v>150</v>
      </c>
      <c r="C41" t="s">
        <v>151</v>
      </c>
      <c r="D41" s="12">
        <v>44340</v>
      </c>
      <c r="E41" t="s">
        <v>72</v>
      </c>
      <c r="F41" t="s">
        <v>20</v>
      </c>
      <c r="G41" t="s">
        <v>21</v>
      </c>
      <c r="H41" t="s">
        <v>22</v>
      </c>
      <c r="I41" t="s">
        <v>31</v>
      </c>
      <c r="J41" t="s">
        <v>24</v>
      </c>
      <c r="K41" t="s">
        <v>152</v>
      </c>
      <c r="L41" t="s">
        <v>93</v>
      </c>
      <c r="M41" s="12">
        <v>44340</v>
      </c>
      <c r="N41" t="s">
        <v>146</v>
      </c>
      <c r="O41" t="s">
        <v>35</v>
      </c>
      <c r="P41" t="s">
        <v>35</v>
      </c>
    </row>
    <row r="42" spans="1:16" customFormat="1" ht="15.6" hidden="1" x14ac:dyDescent="0.3">
      <c r="A42" s="10" t="str">
        <f>IFERROR(HYPERLINK(SumMoM[[#This Row],[URL]],SumMoM[[#This Row],[Name]]),"")</f>
        <v>Meeting Minutes A1139702 PENII-Vial Retainer 2 cav.docx</v>
      </c>
      <c r="B42" s="11" t="s">
        <v>153</v>
      </c>
      <c r="C42" t="s">
        <v>154</v>
      </c>
      <c r="D42" s="12">
        <v>44214</v>
      </c>
      <c r="E42" t="s">
        <v>72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155</v>
      </c>
      <c r="L42" t="s">
        <v>156</v>
      </c>
      <c r="M42" s="12">
        <v>44214</v>
      </c>
      <c r="N42" t="s">
        <v>27</v>
      </c>
      <c r="O42" t="s">
        <v>28</v>
      </c>
      <c r="P42" t="s">
        <v>28</v>
      </c>
    </row>
    <row r="43" spans="1:16" customFormat="1" ht="15.6" x14ac:dyDescent="0.3">
      <c r="A43" s="10" t="str">
        <f>IFERROR(HYPERLINK(SumMoM[[#This Row],[URL]],SumMoM[[#This Row],[Name]]),"")</f>
        <v>Meeting Minutes A1136903 PENII-Vial Retainer 2 cav.docx</v>
      </c>
      <c r="B43" s="11" t="s">
        <v>157</v>
      </c>
      <c r="C43" t="s">
        <v>158</v>
      </c>
      <c r="D43" s="12">
        <v>44210</v>
      </c>
      <c r="E43" t="s">
        <v>72</v>
      </c>
      <c r="F43" t="s">
        <v>20</v>
      </c>
      <c r="G43" t="s">
        <v>21</v>
      </c>
      <c r="H43" t="s">
        <v>22</v>
      </c>
      <c r="I43" t="s">
        <v>31</v>
      </c>
      <c r="J43" t="s">
        <v>24</v>
      </c>
      <c r="K43" t="s">
        <v>159</v>
      </c>
      <c r="L43" t="s">
        <v>74</v>
      </c>
      <c r="M43" s="12">
        <v>44210</v>
      </c>
      <c r="N43" t="s">
        <v>27</v>
      </c>
      <c r="O43" t="s">
        <v>35</v>
      </c>
      <c r="P43" t="s">
        <v>35</v>
      </c>
    </row>
    <row r="44" spans="1:16" customFormat="1" ht="15.6" x14ac:dyDescent="0.3">
      <c r="A44" s="10" t="str">
        <f>IFERROR(HYPERLINK(SumMoM[[#This Row],[URL]],SumMoM[[#This Row],[Name]]),"")</f>
        <v>Meeting Minutes A1136903A PENII-Vial Retainer 2 cav.docx</v>
      </c>
      <c r="B44" s="11" t="s">
        <v>160</v>
      </c>
      <c r="C44" t="s">
        <v>161</v>
      </c>
      <c r="D44" s="12">
        <v>44210</v>
      </c>
      <c r="E44" t="s">
        <v>72</v>
      </c>
      <c r="F44" t="s">
        <v>20</v>
      </c>
      <c r="G44" t="s">
        <v>21</v>
      </c>
      <c r="H44" t="s">
        <v>22</v>
      </c>
      <c r="I44" t="s">
        <v>31</v>
      </c>
      <c r="J44" t="s">
        <v>24</v>
      </c>
      <c r="K44" t="s">
        <v>159</v>
      </c>
      <c r="L44" t="s">
        <v>74</v>
      </c>
      <c r="M44" s="12">
        <v>44210</v>
      </c>
      <c r="N44" t="s">
        <v>27</v>
      </c>
      <c r="O44" t="s">
        <v>35</v>
      </c>
      <c r="P44" t="s">
        <v>35</v>
      </c>
    </row>
    <row r="45" spans="1:16" customFormat="1" ht="15.6" hidden="1" x14ac:dyDescent="0.3">
      <c r="A45" s="10" t="str">
        <f>IFERROR(HYPERLINK(SumMoM[[#This Row],[URL]],SumMoM[[#This Row],[Name]]),"")</f>
        <v>Meeting Minutes A1139701 PENII-Vial Retainer 2 cav.docx</v>
      </c>
      <c r="B45" s="11" t="s">
        <v>162</v>
      </c>
      <c r="C45" t="s">
        <v>163</v>
      </c>
      <c r="D45" s="12">
        <v>44173</v>
      </c>
      <c r="E45" t="s">
        <v>164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165</v>
      </c>
      <c r="L45" t="s">
        <v>166</v>
      </c>
      <c r="M45" s="12">
        <v>44173</v>
      </c>
      <c r="N45" t="s">
        <v>27</v>
      </c>
      <c r="O45" t="s">
        <v>28</v>
      </c>
      <c r="P45" t="s">
        <v>28</v>
      </c>
    </row>
    <row r="46" spans="1:16" customFormat="1" ht="15.6" x14ac:dyDescent="0.3">
      <c r="A46" s="10" t="str">
        <f>IFERROR(HYPERLINK(SumMoM[[#This Row],[URL]],SumMoM[[#This Row],[Name]]),"")</f>
        <v>Meeting Minutes A1136902 PENII-Vial Retainer 2 cav.docx</v>
      </c>
      <c r="B46" s="11" t="s">
        <v>167</v>
      </c>
      <c r="C46" t="s">
        <v>168</v>
      </c>
      <c r="D46" s="12">
        <v>44100</v>
      </c>
      <c r="E46" t="s">
        <v>72</v>
      </c>
      <c r="F46" t="s">
        <v>20</v>
      </c>
      <c r="G46" t="s">
        <v>21</v>
      </c>
      <c r="H46" t="s">
        <v>22</v>
      </c>
      <c r="I46" t="s">
        <v>31</v>
      </c>
      <c r="J46" t="s">
        <v>24</v>
      </c>
      <c r="K46" t="s">
        <v>169</v>
      </c>
      <c r="L46" t="s">
        <v>57</v>
      </c>
      <c r="M46" s="12">
        <v>44100</v>
      </c>
      <c r="N46" t="s">
        <v>27</v>
      </c>
      <c r="O46" t="s">
        <v>35</v>
      </c>
      <c r="P46" t="s">
        <v>35</v>
      </c>
    </row>
    <row r="47" spans="1:16" customFormat="1" ht="15.6" x14ac:dyDescent="0.3">
      <c r="A47" s="10" t="str">
        <f>IFERROR(HYPERLINK(SumMoM[[#This Row],[URL]],SumMoM[[#This Row],[Name]]),"")</f>
        <v>Meeting Minutes A1136901A PENII-Vial Retainer 2 cav.docx</v>
      </c>
      <c r="B47" s="11" t="s">
        <v>170</v>
      </c>
      <c r="C47" t="s">
        <v>171</v>
      </c>
      <c r="D47" s="12">
        <v>44053</v>
      </c>
      <c r="E47" t="s">
        <v>72</v>
      </c>
      <c r="F47" t="s">
        <v>20</v>
      </c>
      <c r="G47" t="s">
        <v>21</v>
      </c>
      <c r="H47" t="s">
        <v>22</v>
      </c>
      <c r="I47" t="s">
        <v>31</v>
      </c>
      <c r="J47" t="s">
        <v>24</v>
      </c>
      <c r="K47" t="s">
        <v>169</v>
      </c>
      <c r="L47" t="s">
        <v>172</v>
      </c>
      <c r="M47" s="12">
        <v>44053</v>
      </c>
      <c r="N47" t="s">
        <v>27</v>
      </c>
      <c r="O47" t="s">
        <v>35</v>
      </c>
      <c r="P47" t="s">
        <v>35</v>
      </c>
    </row>
    <row r="48" spans="1:16" customFormat="1" ht="15.6" x14ac:dyDescent="0.3">
      <c r="A48" s="10" t="str">
        <f>IFERROR(HYPERLINK(SumMoM[[#This Row],[URL]],SumMoM[[#This Row],[Name]]),"")</f>
        <v>Meeting Minutes A1136901 PENII-Vial Retainer 2 cav.docx</v>
      </c>
      <c r="B48" s="11" t="s">
        <v>173</v>
      </c>
      <c r="C48" t="s">
        <v>174</v>
      </c>
      <c r="D48" s="12">
        <v>44049</v>
      </c>
      <c r="E48" t="s">
        <v>72</v>
      </c>
      <c r="F48" t="s">
        <v>20</v>
      </c>
      <c r="G48" t="s">
        <v>21</v>
      </c>
      <c r="H48" t="s">
        <v>22</v>
      </c>
      <c r="I48" t="s">
        <v>31</v>
      </c>
      <c r="J48" t="s">
        <v>24</v>
      </c>
      <c r="K48" t="s">
        <v>169</v>
      </c>
      <c r="L48" t="s">
        <v>175</v>
      </c>
      <c r="M48" s="12">
        <v>44049</v>
      </c>
      <c r="N48" t="s">
        <v>27</v>
      </c>
      <c r="O48" t="s">
        <v>35</v>
      </c>
      <c r="P48" t="s">
        <v>35</v>
      </c>
    </row>
    <row r="49" spans="2:12" ht="15.6" hidden="1" x14ac:dyDescent="0.3">
      <c r="B49" s="13"/>
      <c r="D49" s="14"/>
      <c r="F49" s="8"/>
      <c r="L49" s="14"/>
    </row>
    <row r="50" spans="2:12" x14ac:dyDescent="0.3">
      <c r="B50" s="10" t="str">
        <f>IFERROR(HYPERLINK(#REF!,#REF!),"")</f>
        <v/>
      </c>
    </row>
    <row r="51" spans="2:12" x14ac:dyDescent="0.3">
      <c r="B51" s="10" t="str">
        <f>IFERROR(HYPERLINK(#REF!,#REF!),"")</f>
        <v/>
      </c>
    </row>
    <row r="52" spans="2:12" x14ac:dyDescent="0.3">
      <c r="B52" s="10" t="str">
        <f>IFERROR(HYPERLINK(#REF!,#REF!),"")</f>
        <v/>
      </c>
    </row>
    <row r="53" spans="2:12" x14ac:dyDescent="0.3">
      <c r="B53" s="10" t="str">
        <f>IFERROR(HYPERLINK(#REF!,#REF!),"")</f>
        <v/>
      </c>
    </row>
    <row r="54" spans="2:12" x14ac:dyDescent="0.3">
      <c r="B54" s="10" t="str">
        <f>IFERROR(HYPERLINK(#REF!,#REF!),"")</f>
        <v/>
      </c>
    </row>
    <row r="55" spans="2:12" x14ac:dyDescent="0.3">
      <c r="B55" s="10" t="str">
        <f>IFERROR(HYPERLINK(#REF!,#REF!),"")</f>
        <v/>
      </c>
    </row>
    <row r="56" spans="2:12" x14ac:dyDescent="0.3">
      <c r="B56" s="10" t="str">
        <f>IFERROR(HYPERLINK(#REF!,#REF!),"")</f>
        <v/>
      </c>
    </row>
    <row r="57" spans="2:12" x14ac:dyDescent="0.3">
      <c r="B57" s="10" t="str">
        <f>IFERROR(HYPERLINK(#REF!,#REF!),"")</f>
        <v/>
      </c>
    </row>
    <row r="58" spans="2:12" x14ac:dyDescent="0.3">
      <c r="B58" s="10" t="str">
        <f>IFERROR(HYPERLINK(#REF!,#REF!),"")</f>
        <v/>
      </c>
    </row>
    <row r="59" spans="2:12" x14ac:dyDescent="0.3">
      <c r="B59" s="10" t="str">
        <f>IFERROR(HYPERLINK(#REF!,#REF!),"")</f>
        <v/>
      </c>
    </row>
    <row r="60" spans="2:12" x14ac:dyDescent="0.3">
      <c r="B60" s="10" t="str">
        <f>IFERROR(HYPERLINK(#REF!,#REF!),"")</f>
        <v/>
      </c>
    </row>
    <row r="61" spans="2:12" x14ac:dyDescent="0.3">
      <c r="B61" s="10" t="str">
        <f>IFERROR(HYPERLINK(#REF!,#REF!),"")</f>
        <v/>
      </c>
    </row>
    <row r="62" spans="2:12" x14ac:dyDescent="0.3">
      <c r="B62" s="10" t="str">
        <f>IFERROR(HYPERLINK(#REF!,#REF!),"")</f>
        <v/>
      </c>
    </row>
    <row r="63" spans="2:12" x14ac:dyDescent="0.3">
      <c r="B63" s="10" t="str">
        <f>IFERROR(HYPERLINK(#REF!,#REF!),"")</f>
        <v/>
      </c>
    </row>
    <row r="64" spans="2:12" x14ac:dyDescent="0.3">
      <c r="B64" s="10" t="str">
        <f>IFERROR(HYPERLINK(#REF!,#REF!),"")</f>
        <v/>
      </c>
    </row>
    <row r="65" spans="2:2" x14ac:dyDescent="0.3">
      <c r="B65" s="10" t="str">
        <f>IFERROR(HYPERLINK(#REF!,#REF!),"")</f>
        <v/>
      </c>
    </row>
    <row r="66" spans="2:2" x14ac:dyDescent="0.3">
      <c r="B66" s="10" t="str">
        <f>IFERROR(HYPERLINK(#REF!,#REF!),"")</f>
        <v/>
      </c>
    </row>
    <row r="67" spans="2:2" x14ac:dyDescent="0.3">
      <c r="B67" s="10" t="str">
        <f>IFERROR(HYPERLINK(#REF!,#REF!),"")</f>
        <v/>
      </c>
    </row>
    <row r="68" spans="2:2" x14ac:dyDescent="0.3">
      <c r="B68" s="10" t="str">
        <f>IFERROR(HYPERLINK(#REF!,#REF!),"")</f>
        <v/>
      </c>
    </row>
    <row r="69" spans="2:2" x14ac:dyDescent="0.3">
      <c r="B69" s="10" t="str">
        <f>IFERROR(HYPERLINK(#REF!,#REF!),"")</f>
        <v/>
      </c>
    </row>
    <row r="70" spans="2:2" x14ac:dyDescent="0.3">
      <c r="B70" s="10" t="str">
        <f>IFERROR(HYPERLINK(#REF!,#REF!),"")</f>
        <v/>
      </c>
    </row>
    <row r="71" spans="2:2" x14ac:dyDescent="0.3">
      <c r="B71" s="10" t="str">
        <f>IFERROR(HYPERLINK(#REF!,#REF!),"")</f>
        <v/>
      </c>
    </row>
    <row r="72" spans="2:2" x14ac:dyDescent="0.3">
      <c r="B72" s="10" t="str">
        <f>IFERROR(HYPERLINK(#REF!,#REF!),"")</f>
        <v/>
      </c>
    </row>
    <row r="73" spans="2:2" x14ac:dyDescent="0.3">
      <c r="B73" s="10" t="str">
        <f>IFERROR(HYPERLINK(#REF!,#REF!),"")</f>
        <v/>
      </c>
    </row>
    <row r="74" spans="2:2" x14ac:dyDescent="0.3">
      <c r="B74" s="10" t="str">
        <f>IFERROR(HYPERLINK(#REF!,#REF!),"")</f>
        <v/>
      </c>
    </row>
    <row r="75" spans="2:2" x14ac:dyDescent="0.3">
      <c r="B75" s="10" t="str">
        <f>IFERROR(HYPERLINK(#REF!,#REF!),"")</f>
        <v/>
      </c>
    </row>
    <row r="76" spans="2:2" x14ac:dyDescent="0.3">
      <c r="B76" s="10" t="str">
        <f>IFERROR(HYPERLINK(#REF!,#REF!),"")</f>
        <v/>
      </c>
    </row>
    <row r="77" spans="2:2" x14ac:dyDescent="0.3">
      <c r="B77" s="10" t="str">
        <f>IFERROR(HYPERLINK(#REF!,#REF!),"")</f>
        <v/>
      </c>
    </row>
    <row r="78" spans="2:2" x14ac:dyDescent="0.3">
      <c r="B78" s="10" t="str">
        <f>IFERROR(HYPERLINK(#REF!,#REF!),"")</f>
        <v/>
      </c>
    </row>
    <row r="79" spans="2:2" x14ac:dyDescent="0.3">
      <c r="B79" s="10" t="str">
        <f>IFERROR(HYPERLINK(#REF!,#REF!),"")</f>
        <v/>
      </c>
    </row>
    <row r="80" spans="2:2" x14ac:dyDescent="0.3">
      <c r="B80" s="10" t="str">
        <f>IFERROR(HYPERLINK(#REF!,#REF!),"")</f>
        <v/>
      </c>
    </row>
    <row r="81" spans="2:2" x14ac:dyDescent="0.3">
      <c r="B81" s="10" t="str">
        <f>IFERROR(HYPERLINK(#REF!,#REF!),"")</f>
        <v/>
      </c>
    </row>
    <row r="82" spans="2:2" x14ac:dyDescent="0.3">
      <c r="B82" s="10" t="str">
        <f>IFERROR(HYPERLINK(#REF!,#REF!),"")</f>
        <v/>
      </c>
    </row>
    <row r="83" spans="2:2" x14ac:dyDescent="0.3">
      <c r="B83" s="10" t="str">
        <f>IFERROR(HYPERLINK(#REF!,#REF!),"")</f>
        <v/>
      </c>
    </row>
    <row r="84" spans="2:2" x14ac:dyDescent="0.3">
      <c r="B84" s="10" t="str">
        <f>IFERROR(HYPERLINK(#REF!,#REF!),"")</f>
        <v/>
      </c>
    </row>
    <row r="85" spans="2:2" x14ac:dyDescent="0.3">
      <c r="B85" s="10" t="str">
        <f>IFERROR(HYPERLINK(#REF!,#REF!),"")</f>
        <v/>
      </c>
    </row>
    <row r="86" spans="2:2" x14ac:dyDescent="0.3">
      <c r="B86" s="10" t="str">
        <f>IFERROR(HYPERLINK(#REF!,#REF!),"")</f>
        <v/>
      </c>
    </row>
    <row r="87" spans="2:2" x14ac:dyDescent="0.3">
      <c r="B87" s="10" t="str">
        <f>IFERROR(HYPERLINK(#REF!,#REF!),"")</f>
        <v/>
      </c>
    </row>
    <row r="88" spans="2:2" x14ac:dyDescent="0.3">
      <c r="B88" s="10" t="str">
        <f>IFERROR(HYPERLINK(#REF!,#REF!),"")</f>
        <v/>
      </c>
    </row>
    <row r="89" spans="2:2" x14ac:dyDescent="0.3">
      <c r="B89" s="10" t="str">
        <f>IFERROR(HYPERLINK(#REF!,#REF!),"")</f>
        <v/>
      </c>
    </row>
    <row r="90" spans="2:2" x14ac:dyDescent="0.3">
      <c r="B90" s="10" t="str">
        <f>IFERROR(HYPERLINK(#REF!,#REF!),"")</f>
        <v/>
      </c>
    </row>
    <row r="91" spans="2:2" x14ac:dyDescent="0.3">
      <c r="B91" s="10" t="str">
        <f>IFERROR(HYPERLINK(#REF!,#REF!),"")</f>
        <v/>
      </c>
    </row>
    <row r="92" spans="2:2" x14ac:dyDescent="0.3">
      <c r="B92" s="10" t="str">
        <f>IFERROR(HYPERLINK(#REF!,#REF!),"")</f>
        <v/>
      </c>
    </row>
    <row r="93" spans="2:2" x14ac:dyDescent="0.3">
      <c r="B93" s="10" t="str">
        <f>IFERROR(HYPERLINK(#REF!,#REF!),"")</f>
        <v/>
      </c>
    </row>
    <row r="94" spans="2:2" x14ac:dyDescent="0.3">
      <c r="B94" s="10" t="str">
        <f>IFERROR(HYPERLINK(#REF!,#REF!),"")</f>
        <v/>
      </c>
    </row>
    <row r="95" spans="2:2" x14ac:dyDescent="0.3">
      <c r="B95" s="10" t="str">
        <f>IFERROR(HYPERLINK(#REF!,#REF!),"")</f>
        <v/>
      </c>
    </row>
    <row r="96" spans="2:2" x14ac:dyDescent="0.3">
      <c r="B96" s="10" t="str">
        <f>IFERROR(HYPERLINK(#REF!,#REF!),"")</f>
        <v/>
      </c>
    </row>
    <row r="97" spans="2:2" x14ac:dyDescent="0.3">
      <c r="B97" s="10" t="str">
        <f>IFERROR(HYPERLINK(#REF!,#REF!),"")</f>
        <v/>
      </c>
    </row>
    <row r="98" spans="2:2" x14ac:dyDescent="0.3">
      <c r="B98" s="10" t="str">
        <f>IFERROR(HYPERLINK(#REF!,#REF!),"")</f>
        <v/>
      </c>
    </row>
    <row r="99" spans="2:2" x14ac:dyDescent="0.3">
      <c r="B99" s="10" t="str">
        <f>IFERROR(HYPERLINK(#REF!,#REF!),"")</f>
        <v/>
      </c>
    </row>
    <row r="100" spans="2:2" x14ac:dyDescent="0.3">
      <c r="B100" s="10" t="str">
        <f>IFERROR(HYPERLINK(#REF!,#REF!),"")</f>
        <v/>
      </c>
    </row>
    <row r="101" spans="2:2" x14ac:dyDescent="0.3">
      <c r="B101" s="10" t="str">
        <f>IFERROR(HYPERLINK(#REF!,#REF!),"")</f>
        <v/>
      </c>
    </row>
    <row r="102" spans="2:2" x14ac:dyDescent="0.3">
      <c r="B102" s="10" t="str">
        <f>IFERROR(HYPERLINK(#REF!,#REF!),"")</f>
        <v/>
      </c>
    </row>
    <row r="103" spans="2:2" x14ac:dyDescent="0.3">
      <c r="B103" s="10" t="str">
        <f>IFERROR(HYPERLINK(#REF!,#REF!),"")</f>
        <v/>
      </c>
    </row>
    <row r="104" spans="2:2" x14ac:dyDescent="0.3">
      <c r="B104" s="10" t="str">
        <f>IFERROR(HYPERLINK(#REF!,#REF!),"")</f>
        <v/>
      </c>
    </row>
    <row r="105" spans="2:2" x14ac:dyDescent="0.3">
      <c r="B105" s="10" t="str">
        <f>IFERROR(HYPERLINK(#REF!,#REF!),"")</f>
        <v/>
      </c>
    </row>
    <row r="106" spans="2:2" x14ac:dyDescent="0.3">
      <c r="B106" s="10" t="str">
        <f>IFERROR(HYPERLINK(#REF!,#REF!),"")</f>
        <v/>
      </c>
    </row>
    <row r="107" spans="2:2" x14ac:dyDescent="0.3">
      <c r="B107" s="10" t="str">
        <f>IFERROR(HYPERLINK(#REF!,#REF!),"")</f>
        <v/>
      </c>
    </row>
    <row r="108" spans="2:2" x14ac:dyDescent="0.3">
      <c r="B108" s="10" t="str">
        <f>IFERROR(HYPERLINK(#REF!,#REF!),"")</f>
        <v/>
      </c>
    </row>
    <row r="109" spans="2:2" x14ac:dyDescent="0.3">
      <c r="B109" s="10" t="str">
        <f>IFERROR(HYPERLINK(#REF!,#REF!),"")</f>
        <v/>
      </c>
    </row>
  </sheetData>
  <mergeCells count="3">
    <mergeCell ref="B1:D1"/>
    <mergeCell ref="E1:F1"/>
    <mergeCell ref="J1:L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2BF567-AD79-4BF4-98F3-A8769348C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Lu</dc:creator>
  <cp:lastModifiedBy>Ben Lu</cp:lastModifiedBy>
  <dcterms:created xsi:type="dcterms:W3CDTF">2026-07-07T06:27:07Z</dcterms:created>
  <dcterms:modified xsi:type="dcterms:W3CDTF">2026-07-07T06:32:23Z</dcterms:modified>
</cp:coreProperties>
</file>